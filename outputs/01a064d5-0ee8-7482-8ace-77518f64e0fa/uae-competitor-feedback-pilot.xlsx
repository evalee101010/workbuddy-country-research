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72ed710d2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Summary" sheetId="1" r:id="R62716c707f5f4442"/>
    <x:sheet xmlns:r="http://schemas.openxmlformats.org/officeDocument/2006/relationships" name="Country &amp; Language" sheetId="2" r:id="R15ddfcaac80f494b"/>
    <x:sheet xmlns:r="http://schemas.openxmlformats.org/officeDocument/2006/relationships" name="Source Feasibility" sheetId="3" r:id="Re45a2784fb674458"/>
    <x:sheet xmlns:r="http://schemas.openxmlformats.org/officeDocument/2006/relationships" name="Query Log" sheetId="4" r:id="Rd4586ea6ce044dbd"/>
    <x:sheet xmlns:r="http://schemas.openxmlformats.org/officeDocument/2006/relationships" name="Raw Feedback" sheetId="5" r:id="R58a6055ae6084c90"/>
    <x:sheet xmlns:r="http://schemas.openxmlformats.org/officeDocument/2006/relationships" name="Coded Feedback" sheetId="6" r:id="R0b64362f1a22474d"/>
    <x:sheet xmlns:r="http://schemas.openxmlformats.org/officeDocument/2006/relationships" name="Coverage Matrix" sheetId="7" r:id="R2c0db67766ac4a93"/>
    <x:sheet xmlns:r="http://schemas.openxmlformats.org/officeDocument/2006/relationships" name="Codebook" sheetId="8" r:id="R03214b43158344cd"/>
  </x:sheets>
</x:workbook>
</file>

<file path=xl/comments1.xml><?xml version="1.0" encoding="utf-8"?>
<x:comments xmlns:x="http://schemas.openxmlformats.org/spreadsheetml/2006/main">
  <x:authors>
    <x:author>tc={F3EAEB3C-D55B-486B-80FE-9904341E4D6E}</x:author>
  </x:authors>
  <x:commentList>
    <x:comment ref="E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High geo means explicit source profile/body location evidence; it is not independent identity verification.</x:t>
        </x:r>
      </x:text>
    </x:comment>
  </x:commentList>
</x:comments>
</file>

<file path=xl/comments2.xml><?xml version="1.0" encoding="utf-8"?>
<x:comments xmlns:x="http://schemas.openxmlformats.org/spreadsheetml/2006/main">
  <x:authors>
    <x:author>tc={874A7CA6-8AAF-484C-A700-667AD2DC489D}</x:author>
  </x:authors>
  <x:commentList>
    <x:comment ref="D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Arabic is a query language, never a substitute for country attribution.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B42318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24"/>
      <x:color rgb="FF17324D"/>
      <x:name val="Carlito"/>
    </x:font>
    <x:font>
      <x:b/>
      <x:sz val="14"/>
      <x:color rgb="FFF97316"/>
      <x:name val="Carlito"/>
    </x:font>
    <x:font>
      <x:b/>
      <x:sz val="20"/>
      <x:color rgb="FF17324D"/>
      <x:name val="Carlito"/>
    </x:font>
    <x:font>
      <x:sz val="11"/>
      <x:color rgb="FFB4231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E8CF"/>
      </x:patternFill>
    </x:fill>
    <x:fill>
      <x:patternFill patternType="solid">
        <x:fgColor rgb="FF0E7490"/>
      </x:patternFill>
    </x:fill>
    <x:fill>
      <x:patternFill patternType="solid">
        <x:fgColor rgb="FFFDE8E7"/>
      </x:patternFill>
    </x:fill>
    <x:fill>
      <x:patternFill patternType="solid">
        <x:fgColor rgb="FFD9F0F4"/>
      </x:patternFill>
    </x:fill>
    <x:fill>
      <x:patternFill patternType="solid">
        <x:fgColor rgb="FFEAF5F8"/>
      </x:patternFill>
    </x:fill>
    <x:fill>
      <x:patternFill patternType="solid">
        <x:fgColor rgb="FFFBF7EE"/>
      </x:patternFill>
    </x:fill>
    <x:fill>
      <x:patternFill patternType="solid">
        <x:fgColor rgb="FFB42318"/>
      </x:patternFill>
    </x:fill>
  </x:fills>
  <x:borders count="19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0E7490"/>
      </x:left>
      <x:top style="thin">
        <x:color rgb="FF0E7490"/>
      </x:top>
    </x:border>
    <x:border>
      <x:top style="thin">
        <x:color rgb="FF0E7490"/>
      </x:top>
    </x:border>
    <x:border>
      <x:right style="thin">
        <x:color rgb="FF0E7490"/>
      </x:right>
      <x:top style="thin">
        <x:color rgb="FF0E7490"/>
      </x:top>
    </x:border>
    <x:border>
      <x:left style="thin">
        <x:color rgb="FF0E7490"/>
      </x:left>
      <x:bottom style="thin">
        <x:color rgb="FF0E7490"/>
      </x:bottom>
    </x:border>
    <x:border>
      <x:bottom style="thin">
        <x:color rgb="FF0E7490"/>
      </x:bottom>
    </x:border>
    <x:border>
      <x:right style="thin">
        <x:color rgb="FF0E7490"/>
      </x:right>
      <x:bottom style="thin">
        <x:color rgb="FF0E7490"/>
      </x:bottom>
    </x:border>
    <x:border>
      <x:right style="thin">
        <x:color rgb="FFEAECF0"/>
      </x:right>
      <x:bottom style="thin">
        <x:color rgb="FFEAECF0"/>
      </x:bottom>
    </x:border>
    <x:border>
      <x:left style="thin">
        <x:color rgb="FFEAECF0"/>
      </x:left>
      <x:right style="thin">
        <x:color rgb="FFEAECF0"/>
      </x:right>
      <x:bottom style="thin">
        <x:color rgb="FFEAECF0"/>
      </x:bottom>
    </x:border>
    <x:border>
      <x:left style="thin">
        <x:color rgb="FFEAECF0"/>
      </x:left>
      <x:bottom style="thin">
        <x:color rgb="FFEAECF0"/>
      </x:bottom>
    </x:border>
    <x:border>
      <x:right style="thin">
        <x:color rgb="FFEAECF0"/>
      </x:right>
      <x:top style="thin">
        <x:color rgb="FFEAECF0"/>
      </x:top>
      <x:bottom style="thin">
        <x:color rgb="FFEAECF0"/>
      </x:bottom>
    </x:border>
    <x:border>
      <x:left style="thin">
        <x:color rgb="FFEAECF0"/>
      </x:left>
      <x:right style="thin">
        <x:color rgb="FFEAECF0"/>
      </x:right>
      <x:top style="thin">
        <x:color rgb="FFEAECF0"/>
      </x:top>
      <x:bottom style="thin">
        <x:color rgb="FFEAECF0"/>
      </x:bottom>
    </x:border>
    <x:border>
      <x:left style="thin">
        <x:color rgb="FFEAECF0"/>
      </x:left>
      <x:top style="thin">
        <x:color rgb="FFEAECF0"/>
      </x:top>
      <x:bottom style="thin">
        <x:color rgb="FFEAECF0"/>
      </x:bottom>
    </x:border>
    <x:border>
      <x:right style="thin">
        <x:color rgb="FFEAECF0"/>
      </x:right>
      <x:top style="thin">
        <x:color rgb="FFEAECF0"/>
      </x:top>
    </x:border>
    <x:border>
      <x:left style="thin">
        <x:color rgb="FFEAECF0"/>
      </x:left>
      <x:right style="thin">
        <x:color rgb="FFEAECF0"/>
      </x:right>
      <x:top style="thin">
        <x:color rgb="FFEAECF0"/>
      </x:top>
    </x:border>
    <x:border>
      <x:left style="thin">
        <x:color rgb="FFEAECF0"/>
      </x:left>
      <x:top style="thin">
        <x:color rgb="FFEAECF0"/>
      </x:top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4" xfId="0" applyNumberFormat="1" applyFont="1" applyFill="1" applyBorder="1" applyAlignment="1">
      <x:alignment horizontal="center"/>
    </x:xf>
    <x:xf numFmtId="0" fontId="7" fillId="6" borderId="5" xfId="0" applyNumberFormat="1" applyFont="1" applyFill="1" applyBorder="1" applyAlignment="1">
      <x:alignment horizontal="center"/>
    </x:xf>
    <x:xf numFmtId="0" fontId="7" fillId="6" borderId="6" xfId="0" applyNumberFormat="1" applyFont="1" applyFill="1" applyBorder="1" applyAlignment="1">
      <x:alignment horizontal="center"/>
    </x:xf>
    <x:xf numFmtId="0" fontId="7" fillId="6" borderId="7" xfId="0" applyNumberFormat="1" applyFont="1" applyFill="1" applyBorder="1" applyAlignment="1">
      <x:alignment horizontal="center"/>
    </x:xf>
    <x:xf numFmtId="0" fontId="7" fillId="6" borderId="8" xfId="0" applyNumberFormat="1" applyFont="1" applyFill="1" applyBorder="1" applyAlignment="1">
      <x:alignment horizontal="center"/>
    </x:xf>
    <x:xf numFmtId="0" fontId="7" fillId="6" borderId="9" xfId="0" applyNumberFormat="1" applyFont="1" applyFill="1" applyBorder="1" applyAlignment="1">
      <x:alignment horizontal="center"/>
    </x:xf>
    <x:xf numFmtId="0" fontId="7" fillId="6" borderId="4" xfId="0" applyNumberFormat="1" applyFont="1" applyFill="1" applyBorder="1" applyAlignment="1">
      <x:alignment horizontal="center" vertical="center"/>
    </x:xf>
    <x:xf numFmtId="0" fontId="7" fillId="6" borderId="5" xfId="0" applyNumberFormat="1" applyFont="1" applyFill="1" applyBorder="1" applyAlignment="1">
      <x:alignment horizontal="center" vertical="center"/>
    </x:xf>
    <x:xf numFmtId="0" fontId="7" fillId="6" borderId="6" xfId="0" applyNumberFormat="1" applyFont="1" applyFill="1" applyBorder="1" applyAlignment="1">
      <x:alignment horizontal="center" vertical="center"/>
    </x:xf>
    <x:xf numFmtId="0" fontId="7" fillId="6" borderId="7" xfId="0" applyNumberFormat="1" applyFont="1" applyFill="1" applyBorder="1" applyAlignment="1">
      <x:alignment horizontal="center" vertical="center"/>
    </x:xf>
    <x:xf numFmtId="0" fontId="7" fillId="6" borderId="8" xfId="0" applyNumberFormat="1" applyFont="1" applyFill="1" applyBorder="1" applyAlignment="1">
      <x:alignment horizontal="center" vertical="center"/>
    </x:xf>
    <x:xf numFmtId="0" fontId="7" fillId="6" borderId="9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0" xfId="0" applyNumberFormat="1" applyFont="1" applyFill="1" applyBorder="1" applyAlignment="1">
      <x:alignment wrapText="1"/>
    </x:xf>
    <x:xf numFmtId="0" fontId="0" fillId="8" borderId="11" xfId="0" applyNumberFormat="1" applyFont="1" applyFill="1" applyBorder="1" applyAlignment="1">
      <x:alignment wrapText="1"/>
    </x:xf>
    <x:xf numFmtId="0" fontId="0" fillId="8" borderId="12" xfId="0" applyNumberFormat="1" applyFont="1" applyFill="1" applyBorder="1" applyAlignment="1">
      <x:alignment wrapText="1"/>
    </x:xf>
    <x:xf numFmtId="0" fontId="0" fillId="8" borderId="13" xfId="0" applyNumberFormat="1" applyFont="1" applyFill="1" applyBorder="1" applyAlignment="1">
      <x:alignment wrapText="1"/>
    </x:xf>
    <x:xf numFmtId="0" fontId="0" fillId="8" borderId="14" xfId="0" applyNumberFormat="1" applyFont="1" applyFill="1" applyBorder="1" applyAlignment="1">
      <x:alignment wrapText="1"/>
    </x:xf>
    <x:xf numFmtId="0" fontId="0" fillId="8" borderId="15" xfId="0" applyNumberFormat="1" applyFont="1" applyFill="1" applyBorder="1" applyAlignment="1">
      <x:alignment wrapText="1"/>
    </x:xf>
    <x:xf numFmtId="0" fontId="0" fillId="8" borderId="16" xfId="0" applyNumberFormat="1" applyFont="1" applyFill="1" applyBorder="1" applyAlignment="1">
      <x:alignment wrapText="1"/>
    </x:xf>
    <x:xf numFmtId="0" fontId="0" fillId="8" borderId="17" xfId="0" applyNumberFormat="1" applyFont="1" applyFill="1" applyBorder="1" applyAlignment="1">
      <x:alignment wrapText="1"/>
    </x:xf>
    <x:xf numFmtId="0" fontId="0" fillId="8" borderId="18" xfId="0" applyNumberFormat="1" applyFont="1" applyFill="1" applyBorder="1" applyAlignment="1">
      <x:alignment wrapText="1"/>
    </x:xf>
    <x:xf numFmtId="0" fontId="0" fillId="8" borderId="10" xfId="0" applyNumberFormat="1" applyFont="1" applyFill="1" applyBorder="1" applyAlignment="1">
      <x:alignment vertical="center" wrapText="1"/>
    </x:xf>
    <x:xf numFmtId="0" fontId="0" fillId="8" borderId="11" xfId="0" applyNumberFormat="1" applyFont="1" applyFill="1" applyBorder="1" applyAlignment="1">
      <x:alignment vertical="center" wrapText="1"/>
    </x:xf>
    <x:xf numFmtId="0" fontId="0" fillId="8" borderId="12" xfId="0" applyNumberFormat="1" applyFont="1" applyFill="1" applyBorder="1" applyAlignment="1">
      <x:alignment vertical="center" wrapText="1"/>
    </x:xf>
    <x:xf numFmtId="0" fontId="0" fillId="8" borderId="13" xfId="0" applyNumberFormat="1" applyFont="1" applyFill="1" applyBorder="1" applyAlignment="1">
      <x:alignment vertical="center" wrapText="1"/>
    </x:xf>
    <x:xf numFmtId="0" fontId="0" fillId="8" borderId="14" xfId="0" applyNumberFormat="1" applyFont="1" applyFill="1" applyBorder="1" applyAlignment="1">
      <x:alignment vertical="center" wrapText="1"/>
    </x:xf>
    <x:xf numFmtId="0" fontId="0" fillId="8" borderId="15" xfId="0" applyNumberFormat="1" applyFont="1" applyFill="1" applyBorder="1" applyAlignment="1">
      <x:alignment vertical="center" wrapText="1"/>
    </x:xf>
    <x:xf numFmtId="0" fontId="0" fillId="8" borderId="16" xfId="0" applyNumberFormat="1" applyFont="1" applyFill="1" applyBorder="1" applyAlignment="1">
      <x:alignment vertical="center" wrapText="1"/>
    </x:xf>
    <x:xf numFmtId="0" fontId="0" fillId="8" borderId="17" xfId="0" applyNumberFormat="1" applyFont="1" applyFill="1" applyBorder="1" applyAlignment="1">
      <x:alignment vertical="center" wrapText="1"/>
    </x:xf>
    <x:xf numFmtId="0" fontId="0" fillId="8" borderId="18" xfId="0" applyNumberFormat="1" applyFont="1" applyFill="1" applyBorder="1" applyAlignment="1">
      <x:alignment vertical="center" wrapText="1"/>
    </x:xf>
    <x:xf numFmtId="0" fontId="8" fillId="8" borderId="10" xfId="0" applyNumberFormat="1" applyFont="1" applyFill="1" applyBorder="1" applyAlignment="1">
      <x:alignment vertical="center" wrapText="1"/>
    </x:xf>
    <x:xf numFmtId="0" fontId="8" fillId="8" borderId="13" xfId="0" applyNumberFormat="1" applyFont="1" applyFill="1" applyBorder="1" applyAlignment="1">
      <x:alignment vertical="center" wrapText="1"/>
    </x:xf>
    <x:xf numFmtId="0" fontId="8" fillId="8" borderId="16" xfId="0" applyNumberFormat="1" applyFont="1" applyFill="1" applyBorder="1" applyAlignment="1">
      <x:alignment vertical="center" wrapText="1"/>
    </x:xf>
    <x:xf numFmtId="0" fontId="8" fillId="8" borderId="10" xfId="0" applyNumberFormat="1" applyFont="1" applyFill="1" applyBorder="1" applyAlignment="1">
      <x:alignment horizontal="center" vertical="center" wrapText="1"/>
    </x:xf>
    <x:xf numFmtId="0" fontId="8" fillId="8" borderId="13" xfId="0" applyNumberFormat="1" applyFont="1" applyFill="1" applyBorder="1" applyAlignment="1">
      <x:alignment horizontal="center" vertical="center" wrapText="1"/>
    </x:xf>
    <x:xf numFmtId="0" fontId="8" fillId="8" borderId="16" xfId="0" applyNumberFormat="1" applyFont="1" applyFill="1" applyBorder="1" applyAlignment="1">
      <x:alignment horizontal="center" vertical="center" wrapText="1"/>
    </x:xf>
    <x:xf numFmtId="0" fontId="6" fillId="8" borderId="11" xfId="0" applyNumberFormat="1" applyFont="1" applyFill="1" applyBorder="1" applyAlignment="1">
      <x:alignment vertical="center" wrapText="1"/>
    </x:xf>
    <x:xf numFmtId="0" fontId="6" fillId="8" borderId="14" xfId="0" applyNumberFormat="1" applyFont="1" applyFill="1" applyBorder="1" applyAlignment="1">
      <x:alignment vertical="center" wrapText="1"/>
    </x:xf>
    <x:xf numFmtId="0" fontId="6" fillId="8" borderId="17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9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5" xfId="0" applyNumberFormat="1" applyFont="1" applyFill="1" applyBorder="1" applyAlignment="1">
      <x:alignment horizontal="center"/>
    </x:xf>
    <x:xf numFmtId="0" fontId="9" fillId="7" borderId="6" xfId="0" applyNumberFormat="1" applyFont="1" applyFill="1" applyBorder="1" applyAlignment="1">
      <x:alignment horizontal="center"/>
    </x:xf>
    <x:xf numFmtId="0" fontId="9" fillId="7" borderId="7" xfId="0" applyNumberFormat="1" applyFont="1" applyFill="1" applyBorder="1" applyAlignment="1">
      <x:alignment horizontal="center"/>
    </x:xf>
    <x:xf numFmtId="0" fontId="9" fillId="7" borderId="8" xfId="0" applyNumberFormat="1" applyFont="1" applyFill="1" applyBorder="1" applyAlignment="1">
      <x:alignment horizontal="center"/>
    </x:xf>
    <x:xf numFmtId="0" fontId="9" fillId="7" borderId="9" xfId="0" applyNumberFormat="1" applyFont="1" applyFill="1" applyBorder="1" applyAlignment="1">
      <x:alignment horizontal="center"/>
    </x:xf>
    <x:xf numFmtId="0" fontId="9" fillId="7" borderId="4" xfId="0" applyNumberFormat="1" applyFont="1" applyFill="1" applyBorder="1" applyAlignment="1">
      <x:alignment horizontal="center" vertical="center"/>
    </x:xf>
    <x:xf numFmtId="0" fontId="9" fillId="7" borderId="5" xfId="0" applyNumberFormat="1" applyFont="1" applyFill="1" applyBorder="1" applyAlignment="1">
      <x:alignment horizontal="center" vertical="center"/>
    </x:xf>
    <x:xf numFmtId="0" fontId="9" fillId="7" borderId="6" xfId="0" applyNumberFormat="1" applyFont="1" applyFill="1" applyBorder="1" applyAlignment="1">
      <x:alignment horizontal="center" vertical="center"/>
    </x:xf>
    <x:xf numFmtId="0" fontId="9" fillId="7" borderId="7" xfId="0" applyNumberFormat="1" applyFont="1" applyFill="1" applyBorder="1" applyAlignment="1">
      <x:alignment horizontal="center" vertical="center"/>
    </x:xf>
    <x:xf numFmtId="0" fontId="9" fillId="7" borderId="8" xfId="0" applyNumberFormat="1" applyFont="1" applyFill="1" applyBorder="1" applyAlignment="1">
      <x:alignment horizontal="center" vertical="center"/>
    </x:xf>
    <x:xf numFmtId="0" fontId="9" fillId="7" borderId="9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13795B"/>
      </x:font>
      <x:fill>
        <x:patternFill patternType="solid">
          <x:bgColor rgb="FFE4F3EC"/>
        </x:patternFill>
      </x:fill>
    </x:dxf>
    <x:dxf>
      <x:font>
        <x:color rgb="FFB42318"/>
      </x:font>
      <x:fill>
        <x:patternFill patternType="solid">
          <x:bgColor rgb="FFFDE8E7"/>
        </x:patternFill>
      </x:fill>
    </x:dxf>
    <x:dxf>
      <x:font>
        <x:b/>
        <x:color rgb="FF13795B"/>
      </x:font>
      <x:fill>
        <x:patternFill patternType="solid">
          <x:bgColor rgb="FFE4F3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13795B"/>
      </x:font>
      <x:fill>
        <x:patternFill patternType="solid">
          <x:bgColor rgb="FFE4F3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f83fa975734078" /><Relationship Type="http://schemas.openxmlformats.org/officeDocument/2006/relationships/theme" Target="/xl/theme/theme1.xml" Id="R5a2c3af3769749ca" /><Relationship Type="http://schemas.openxmlformats.org/officeDocument/2006/relationships/sharedStrings" Target="/xl/sharedStrings.xml" Id="Rf11e4c4b972c4324" /><Relationship Type="http://schemas.openxmlformats.org/officeDocument/2006/relationships/worksheet" Target="/xl/worksheets/sheet1.xml" Id="R62716c707f5f4442" /><Relationship Type="http://schemas.openxmlformats.org/officeDocument/2006/relationships/worksheet" Target="/xl/worksheets/sheet2.xml" Id="R15ddfcaac80f494b" /><Relationship Type="http://schemas.openxmlformats.org/officeDocument/2006/relationships/worksheet" Target="/xl/worksheets/sheet3.xml" Id="Re45a2784fb674458" /><Relationship Type="http://schemas.openxmlformats.org/officeDocument/2006/relationships/worksheet" Target="/xl/worksheets/sheet4.xml" Id="Rd4586ea6ce044dbd" /><Relationship Type="http://schemas.openxmlformats.org/officeDocument/2006/relationships/worksheet" Target="/xl/worksheets/sheet5.xml" Id="R58a6055ae6084c90" /><Relationship Type="http://schemas.openxmlformats.org/officeDocument/2006/relationships/worksheet" Target="/xl/worksheets/sheet6.xml" Id="R0b64362f1a22474d" /><Relationship Type="http://schemas.openxmlformats.org/officeDocument/2006/relationships/worksheet" Target="/xl/worksheets/sheet7.xml" Id="R2c0db67766ac4a93" /><Relationship Type="http://schemas.openxmlformats.org/officeDocument/2006/relationships/worksheet" Target="/xl/worksheets/sheet8.xml" Id="R03214b43158344cd" /><Relationship Type="http://schemas.microsoft.com/office/2017/10/relationships/person" Target="/xl/persons/person.xml" Id="R7c040152d78e4925" /></Relationships>
</file>

<file path=xl/persons/person.xml><?xml version="1.0" encoding="utf-8"?>
<xltc:personList xmlns:xltc="http://schemas.microsoft.com/office/spreadsheetml/2018/threadedcomments">
  <xltc:person displayName="User" id="{A2193874-D188-454C-BC13-0F71F53D33A5}"/>
</xltc:personList>
</file>

<file path=xl/tables/table1.xml><?xml version="1.0" encoding="utf-8"?>
<x:table xmlns:x="http://schemas.openxmlformats.org/spreadsheetml/2006/main" id="1" name="CountryLanguageTable" displayName="CountryLanguageTable" ref="A4:M9" headerRowCount="1" totalsRowCount="0" totalsRowShown="0">
  <x:tableColumns count="13">
    <x:tableColumn id="1" name="country_iso3"/>
    <x:tableColumn id="2" name="country_name_cn"/>
    <x:tableColumn id="3" name="country_name_en"/>
    <x:tableColumn id="4" name="market_unit"/>
    <x:tableColumn id="5" name="query_language"/>
    <x:tableColumn id="6" name="language_code"/>
    <x:tableColumn id="7" name="priority"/>
    <x:tableColumn id="8" name="rationale"/>
    <x:tableColumn id="9" name="seed_terms"/>
    <x:tableColumn id="10" name="country_anchors"/>
    <x:tableColumn id="11" name="geo_rule"/>
    <x:tableColumn id="12" name="status"/>
    <x:tableColumn id="13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SourceFeasibilityTable" displayName="SourceFeasibilityTable" ref="A4:N16" headerRowCount="1" totalsRowCount="0" totalsRowShown="0">
  <x:tableColumns count="14">
    <x:tableColumn id="1" name="channel"/>
    <x:tableColumn id="2" name="access_status"/>
    <x:tableColumn id="3" name="public_access"/>
    <x:tableColumn id="4" name="machine_access"/>
    <x:tableColumn id="5" name="auth_or_rights"/>
    <x:tableColumn id="6" name="raw_found"/>
    <x:tableColumn id="7" name="coded_rows"/>
    <x:tableColumn id="8" name="high_geo_rows"/>
    <x:tableColumn id="9" name="dimensions_observed"/>
    <x:tableColumn id="10" name="geo_strength"/>
    <x:tableColumn id="11" name="main_bias"/>
    <x:tableColumn id="12" name="pilot_recommendation"/>
    <x:tableColumn id="13" name="pilot_test_outcome"/>
    <x:tableColumn id="14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QueryLogTable" displayName="QueryLogTable" ref="A4:M24" headerRowCount="1" totalsRowCount="0" totalsRowShown="0">
  <x:tableColumns count="13">
    <x:tableColumn id="1" name="query_id"/>
    <x:tableColumn id="2" name="channel"/>
    <x:tableColumn id="3" name="product"/>
    <x:tableColumn id="4" name="query_language"/>
    <x:tableColumn id="5" name="exact_query"/>
    <x:tableColumn id="6" name="country_anchor"/>
    <x:tableColumn id="7" name="time_window"/>
    <x:tableColumn id="8" name="pages_checked"/>
    <x:tableColumn id="9" name="candidates_seen"/>
    <x:tableColumn id="10" name="coded_count"/>
    <x:tableColumn id="11" name="outcome"/>
    <x:tableColumn id="12" name="leakage"/>
    <x:tableColumn id="13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awFeedbackTable" displayName="RawFeedbackTable" ref="A4:AH24" headerRowCount="1" totalsRowCount="0" totalsRowShown="0">
  <x:tableColumns count="34">
    <x:tableColumn id="1" name="feedback_id"/>
    <x:tableColumn id="2" name="product"/>
    <x:tableColumn id="3" name="product_scope"/>
    <x:tableColumn id="4" name="source_channel"/>
    <x:tableColumn id="5" name="source_name"/>
    <x:tableColumn id="6" name="source_url"/>
    <x:tableColumn id="7" name="source_item_hint"/>
    <x:tableColumn id="8" name="author_alias"/>
    <x:tableColumn id="9" name="published_at"/>
    <x:tableColumn id="10" name="published_at_raw"/>
    <x:tableColumn id="11" name="date_confidence"/>
    <x:tableColumn id="12" name="captured_at"/>
    <x:tableColumn id="13" name="query_language"/>
    <x:tableColumn id="14" name="content_language"/>
    <x:tableColumn id="15" name="geo_claim"/>
    <x:tableColumn id="16" name="country_iso3_candidate"/>
    <x:tableColumn id="17" name="geo_evidence"/>
    <x:tableColumn id="18" name="country_confidence"/>
    <x:tableColumn id="19" name="rating"/>
    <x:tableColumn id="20" name="author_context"/>
    <x:tableColumn id="21" name="task_summary"/>
    <x:tableColumn id="22" name="outcome_summary"/>
    <x:tableColumn id="23" name="friction_summary"/>
    <x:tableColumn id="24" name="pricing_signal"/>
    <x:tableColumn id="25" name="switching_signal"/>
    <x:tableColumn id="26" name="sentiment"/>
    <x:tableColumn id="27" name="capture_mode"/>
    <x:tableColumn id="28" name="original_text"/>
    <x:tableColumn id="29" name="original_text_translation_cn"/>
    <x:tableColumn id="30" name="evidence_excerpt"/>
    <x:tableColumn id="31" name="inclusion_status"/>
    <x:tableColumn id="32" name="exclusion_reason"/>
    <x:tableColumn id="33" name="duplicate_group"/>
    <x:tableColumn id="34" name="researcher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CodedFeedbackTable" displayName="CodedFeedbackTable" ref="A4:AM17" headerRowCount="1" totalsRowCount="0" totalsRowShown="0">
  <x:tableColumns count="39">
    <x:tableColumn id="1" name="feedback_id"/>
    <x:tableColumn id="2" name="product"/>
    <x:tableColumn id="3" name="product_tier"/>
    <x:tableColumn id="4" name="source_type"/>
    <x:tableColumn id="5" name="source_name"/>
    <x:tableColumn id="6" name="source_url"/>
    <x:tableColumn id="7" name="published_at"/>
    <x:tableColumn id="8" name="captured_at"/>
    <x:tableColumn id="9" name="country_or_region"/>
    <x:tableColumn id="10" name="country_iso3"/>
    <x:tableColumn id="11" name="country_confidence"/>
    <x:tableColumn id="12" name="geo_evidence"/>
    <x:tableColumn id="13" name="query_language"/>
    <x:tableColumn id="14" name="content_language"/>
    <x:tableColumn id="15" name="user_role"/>
    <x:tableColumn id="16" name="company_size"/>
    <x:tableColumn id="17" name="job_to_be_done"/>
    <x:tableColumn id="18" name="trigger"/>
    <x:tableColumn id="19" name="input_or_connected_tools"/>
    <x:tableColumn id="20" name="expected_output"/>
    <x:tableColumn id="21" name="actual_result"/>
    <x:tableColumn id="22" name="success_status"/>
    <x:tableColumn id="23" name="failure_stage"/>
    <x:tableColumn id="24" name="manual_interventions"/>
    <x:tableColumn id="25" name="time_or_latency"/>
    <x:tableColumn id="26" name="setup_difficulty"/>
    <x:tableColumn id="27" name="reliability"/>
    <x:tableColumn id="28" name="control_and_approval"/>
    <x:tableColumn id="29" name="privacy_and_trust"/>
    <x:tableColumn id="30" name="pricing_or_usage_limit"/>
    <x:tableColumn id="31" name="current_alternative"/>
    <x:tableColumn id="32" name="retention_churn_or_switching_signal"/>
    <x:tableColumn id="33" name="sentiment"/>
    <x:tableColumn id="34" name="evidence_excerpt"/>
    <x:tableColumn id="35" name="inclusion_status"/>
    <x:tableColumn id="36" name="scope_class"/>
    <x:tableColumn id="37" name="date_confidence"/>
    <x:tableColumn id="38" name="source_bias_note"/>
    <x:tableColumn id="39" name="researcher_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verageMatrixTable" displayName="CoverageMatrixTable" ref="A4:W12" headerRowCount="1" totalsRowCount="0" totalsRowShown="0">
  <x:tableColumns count="23">
    <x:tableColumn id="1" name="channel"/>
    <x:tableColumn id="2" name="sample_basis"/>
    <x:tableColumn id="3" name="volume"/>
    <x:tableColumn id="4" name="date"/>
    <x:tableColumn id="5" name="rating"/>
    <x:tableColumn id="6" name="language"/>
    <x:tableColumn id="7" name="user_country"/>
    <x:tableColumn id="8" name="user_role"/>
    <x:tableColumn id="9" name="company_size"/>
    <x:tableColumn id="10" name="jtbd"/>
    <x:tableColumn id="11" name="workflow_steps"/>
    <x:tableColumn id="12" name="connected_tools"/>
    <x:tableColumn id="13" name="expected_output"/>
    <x:tableColumn id="14" name="actual_result"/>
    <x:tableColumn id="15" name="failure_stage"/>
    <x:tableColumn id="16" name="manual_intervention"/>
    <x:tableColumn id="17" name="time_latency"/>
    <x:tableColumn id="18" name="pricing_limits"/>
    <x:tableColumn id="19" name="support"/>
    <x:tableColumn id="20" name="privacy_trust"/>
    <x:tableColumn id="21" name="switching_retention"/>
    <x:tableColumn id="22" name="engagement"/>
    <x:tableColumn id="23" name="summa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debookTable" displayName="CodebookTable" ref="A3:D17" headerRowCount="1" totalsRowCount="0" totalsRowShown="0">
  <x:tableColumns count="4">
    <x:tableColumn id="1" name="field"/>
    <x:tableColumn id="2" name="value"/>
    <x:tableColumn id="3" name="definition"/>
    <x:tableColumn id="4" name="decision_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5" dT="2026-09-03T23:53:44.143" personId="{A2193874-D188-454C-BC13-0F71F53D33A5}" id="{F3EAEB3C-D55B-486B-80FE-9904341E4D6E}">
    <xltc:text>High geo means explicit source profile/body location evidence; it is not independent identity verification.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5" dT="2026-09-03T23:53:44.145" personId="{A2193874-D188-454C-BC13-0F71F53D33A5}" id="{874A7CA6-8AAF-484C-A700-667AD2DC489D}">
    <xltc:text>Arabic is a query language, never a substitute for country attribution.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53d405adf8d45c6" /><Relationship Type="http://schemas.openxmlformats.org/officeDocument/2006/relationships/vmlDrawing" Target="/xl/drawings/vmldrawing.vml" Id="Rc8de6cf098244e8d" /><Relationship Type="http://schemas.microsoft.com/office/2017/10/relationships/threadedComment" Target="/xl/threadedcomments/threadedcomment.xml" Id="R0da7584017894b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1c411c4ce17344a0" /><Relationship Type="http://schemas.openxmlformats.org/officeDocument/2006/relationships/vmlDrawing" Target="/xl/drawings/vmldrawing2.vml" Id="R95cdf1730be84e76" /><Relationship Type="http://schemas.microsoft.com/office/2017/10/relationships/threadedComment" Target="/xl/threadedcomments/threadedcomment2.xml" Id="R8ede73d1814444eb" /><Relationship Type="http://schemas.openxmlformats.org/officeDocument/2006/relationships/table" Target="/xl/tables/table1.xml" Id="R0fffbbdc0ace48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d4ab5c7c2145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9758fa12c94c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1ed435db0046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b712f79ab04a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ce603caf0741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ff3b1fad6644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UAE 竞品反馈示意包｜渠道可抓性 × 数据维度 × 地理可信度</x:v>
      </x:c>
      <x:c r="B1" s="3" t="str">
        <x:v>UAE 竞品反馈示意包｜渠道可抓性 × 数据维度 × 地理可信度</x:v>
      </x:c>
      <x:c r="C1" s="3" t="str">
        <x:v>UAE 竞品反馈示意包｜渠道可抓性 × 数据维度 × 地理可信度</x:v>
      </x:c>
      <x:c r="D1" s="3" t="str">
        <x:v>UAE 竞品反馈示意包｜渠道可抓性 × 数据维度 × 地理可信度</x:v>
      </x:c>
      <x:c r="E1" s="3" t="str">
        <x:v>UAE 竞品反馈示意包｜渠道可抓性 × 数据维度 × 地理可信度</x:v>
      </x:c>
      <x:c r="F1" s="3" t="str">
        <x:v>UAE 竞品反馈示意包｜渠道可抓性 × 数据维度 × 地理可信度</x:v>
      </x:c>
      <x:c r="G1" s="3" t="str">
        <x:v>UAE 竞品反馈示意包｜渠道可抓性 × 数据维度 × 地理可信度</x:v>
      </x:c>
      <x:c r="H1" s="3" t="str">
        <x:v>UAE 竞品反馈示意包｜渠道可抓性 × 数据维度 × 地理可信度</x:v>
      </x:c>
    </x:row>
    <x:row r="2" ht="24" customHeight="1">
      <x:c r="A2" s="30" t="str">
        <x:v>Pilot country: United Arab Emirates (ARE) · Core query languages: Arabic + English · Capture date: 2026-09-03</x:v>
      </x:c>
      <x:c r="B2" s="30"/>
      <x:c r="C2" s="30"/>
      <x:c r="D2" s="30"/>
      <x:c r="E2" s="30"/>
      <x:c r="F2" s="30"/>
      <x:c r="G2" s="30"/>
      <x:c r="H2" s="30"/>
    </x:row>
    <x:row r="4">
      <x:c r="A4" s="31" t="str">
        <x:v>发现记录</x:v>
      </x:c>
      <x:c r="B4" s="31"/>
      <x:c r="C4" s="31" t="str">
        <x:v>可编码记录</x:v>
      </x:c>
      <x:c r="D4" s="31"/>
      <x:c r="E4" s="31" t="str">
        <x:v>High geo</x:v>
      </x:c>
      <x:c r="F4" s="31"/>
      <x:c r="G4" s="31" t="str">
        <x:v>Core Cowork</x:v>
      </x:c>
      <x:c r="H4" s="31"/>
    </x:row>
    <x:row r="5">
      <x:c r="A5" s="45" t="n">
        <x:f>COUNTA('Raw Feedback'!$A$5:$A$100)</x:f>
        <x:v>20</x:v>
      </x:c>
      <x:c r="B5" s="46"/>
      <x:c r="C5" s="46" t="n">
        <x:f>COUNTA('Coded Feedback'!$A$5:$A$100)</x:f>
        <x:v>13</x:v>
      </x:c>
      <x:c r="D5" s="46"/>
      <x:c r="E5" s="46" t="n">
        <x:f>COUNTIF('Coded Feedback'!$K$5:$K$100,"High")</x:f>
        <x:v>7</x:v>
      </x:c>
      <x:c r="F5" s="46"/>
      <x:c r="G5" s="46" t="n">
        <x:f>COUNTIF('Coded Feedback'!$AJ$5:$AJ$100,"Core")</x:f>
        <x:v>11</x:v>
      </x:c>
      <x:c r="H5" s="47"/>
    </x:row>
    <x:row r="6">
      <x:c r="A6" s="48"/>
      <x:c r="B6" s="49"/>
      <x:c r="C6" s="49"/>
      <x:c r="D6" s="49"/>
      <x:c r="E6" s="49"/>
      <x:c r="F6" s="49"/>
      <x:c r="G6" s="49"/>
      <x:c r="H6" s="50"/>
    </x:row>
    <x:row r="8" ht="24" customHeight="1">
      <x:c r="A8" s="51" t="str">
        <x:v>本轮最重要的渠道判断</x:v>
      </x:c>
      <x:c r="B8" s="51"/>
      <x:c r="C8" s="51"/>
      <x:c r="D8" s="51"/>
      <x:c r="E8" s="51"/>
      <x:c r="F8" s="51"/>
      <x:c r="G8" s="51"/>
      <x:c r="H8" s="51"/>
    </x:row>
    <x:row r="9" ht="42" customHeight="1">
      <x:c r="A9" s="83" t="str">
        <x:v>1</x:v>
      </x:c>
      <x:c r="B9" s="86" t="str">
        <x:v>Trustpilot</x:v>
      </x:c>
      <x:c r="C9" s="72" t="str">
        <x:v>最稳定获得 profile-country、任务、价格/积分、客服、流失；但主动评价/投诉偏差明显。</x:v>
      </x:c>
      <x:c r="D9" s="72"/>
      <x:c r="E9" s="72"/>
      <x:c r="F9" s="72"/>
      <x:c r="G9" s="72"/>
      <x:c r="H9" s="73"/>
    </x:row>
    <x:row r="10" ht="42" customHeight="1">
      <x:c r="A10" s="84" t="str">
        <x:v>2</x:v>
      </x:c>
      <x:c r="B10" s="87" t="str">
        <x:v>Apple App Store</x:v>
      </x:c>
      <x:c r="C10" s="75" t="str">
        <x:v>最容易拿量与发现主题；UAE storefront 不能证明作者在 UAE，只能 Low/Medium geo。</x:v>
      </x:c>
      <x:c r="D10" s="75"/>
      <x:c r="E10" s="75"/>
      <x:c r="F10" s="75"/>
      <x:c r="G10" s="75"/>
      <x:c r="H10" s="76"/>
    </x:row>
    <x:row r="11" ht="42" customHeight="1">
      <x:c r="A11" s="84" t="str">
        <x:v>3</x:v>
      </x:c>
      <x:c r="B11" s="87" t="str">
        <x:v>Reddit</x:v>
      </x:c>
      <x:c r="C11" s="75" t="str">
        <x:v>命中率最低，但明确自述 Dubai 的个案可同时覆盖本地上下文、任务链路和替代订阅。</x:v>
      </x:c>
      <x:c r="D11" s="75"/>
      <x:c r="E11" s="75"/>
      <x:c r="F11" s="75"/>
      <x:c r="G11" s="75"/>
      <x:c r="H11" s="76"/>
    </x:row>
    <x:row r="12" ht="42" customHeight="1">
      <x:c r="A12" s="84" t="str">
        <x:v>4</x:v>
      </x:c>
      <x:c r="B12" s="87" t="str">
        <x:v>Arabic search</x:v>
      </x:c>
      <x:c r="C12" s="75" t="str">
        <x:v>阿语结果大量混入 Saudi/Egypt/Iraq/全球内容；语言必须和国家证据分栏。</x:v>
      </x:c>
      <x:c r="D12" s="75"/>
      <x:c r="E12" s="75"/>
      <x:c r="F12" s="75"/>
      <x:c r="G12" s="75"/>
      <x:c r="H12" s="76"/>
    </x:row>
    <x:row r="13" ht="42" customHeight="1">
      <x:c r="A13" s="85" t="str">
        <x:v>5</x:v>
      </x:c>
      <x:c r="B13" s="88" t="str">
        <x:v>API reality</x:v>
      </x:c>
      <x:c r="C13" s="78" t="str">
        <x:v>YouTube 需 key，Product Hunt 需 token；Apple/Google 开发者评论 API 不能导出竞争对手评论。</x:v>
      </x:c>
      <x:c r="D13" s="78"/>
      <x:c r="E13" s="78"/>
      <x:c r="F13" s="78"/>
      <x:c r="G13" s="78"/>
      <x:c r="H13" s="79"/>
    </x:row>
    <x:row r="15" ht="24" customHeight="1">
      <x:c r="A15" s="51" t="str">
        <x:v>高置信样本出现的可行动主题（不是总体占比）</x:v>
      </x:c>
      <x:c r="B15" s="51"/>
      <x:c r="C15" s="51"/>
      <x:c r="D15" s="51"/>
      <x:c r="E15" s="51"/>
      <x:c r="F15" s="51"/>
      <x:c r="G15" s="51"/>
      <x:c r="H15" s="51"/>
    </x:row>
    <x:row r="16">
      <x:c r="A16" s="31" t="str">
        <x:v>Failed</x:v>
      </x:c>
      <x:c r="B16" s="31"/>
      <x:c r="C16" s="31" t="str">
        <x:v>Pricing/limits</x:v>
      </x:c>
      <x:c r="D16" s="31"/>
      <x:c r="E16" s="31" t="str">
        <x:v>Switching signal</x:v>
      </x:c>
      <x:c r="F16" s="31"/>
      <x:c r="G16" s="31" t="str">
        <x:v>Positive retention</x:v>
      </x:c>
      <x:c r="H16" s="31"/>
    </x:row>
    <x:row r="17">
      <x:c r="A17" s="102" t="n">
        <x:f>COUNTIFS('Coded Feedback'!$K$5:$K$100,"High",'Coded Feedback'!$V$5:$V$100,"Failed")</x:f>
        <x:v>2</x:v>
      </x:c>
      <x:c r="B17" s="103"/>
      <x:c r="C17" s="103" t="n">
        <x:f>COUNTIFS('Coded Feedback'!$K$5:$K$100,"High",'Coded Feedback'!$AD$5:$AD$100,"&lt;&gt;")</x:f>
        <x:v>7</x:v>
      </x:c>
      <x:c r="D17" s="103"/>
      <x:c r="E17" s="103" t="n">
        <x:f>COUNTIFS('Coded Feedback'!$K$5:$K$100,"High",'Coded Feedback'!$AF$5:$AF$100,"&lt;&gt;")</x:f>
        <x:v>7</x:v>
      </x:c>
      <x:c r="F17" s="103"/>
      <x:c r="G17" s="103" t="n">
        <x:f>COUNTIFS('Coded Feedback'!$K$5:$K$100,"High",'Coded Feedback'!$AG$5:$AG$100,"Positive")</x:f>
        <x:v>4</x:v>
      </x:c>
      <x:c r="H17" s="104"/>
    </x:row>
    <x:row r="18">
      <x:c r="A18" s="105"/>
      <x:c r="B18" s="106"/>
      <x:c r="C18" s="106"/>
      <x:c r="D18" s="106"/>
      <x:c r="E18" s="106"/>
      <x:c r="F18" s="106"/>
      <x:c r="G18" s="106"/>
      <x:c r="H18" s="107"/>
    </x:row>
    <x:row r="20">
      <x:c r="A20" s="109" t="str">
        <x:v>使用边界</x:v>
      </x:c>
      <x:c r="B20" s="109"/>
      <x:c r="C20" s="109"/>
      <x:c r="D20" s="109"/>
      <x:c r="E20" s="109"/>
      <x:c r="F20" s="109"/>
      <x:c r="G20" s="109"/>
      <x:c r="H20" s="109"/>
    </x:row>
    <x:row r="21" ht="26" customHeight="1">
      <x:c r="A21" s="112" t="str">
        <x:v>这是渠道与字段能力试跑，不是 UAE 市场规模或偏好统计。High geo 也只是来源中的明确国家资料/自述，未独立验证身份；App Store Low/Medium 样本不得并入高置信占比。正式扩样前应先做双人编码校准，再设每个产品×渠道×语言的配额。</x:v>
      </x:c>
      <x:c r="B21" s="112"/>
      <x:c r="C21" s="112"/>
      <x:c r="D21" s="112"/>
      <x:c r="E21" s="112"/>
      <x:c r="F21" s="112"/>
      <x:c r="G21" s="112"/>
      <x:c r="H21" s="112"/>
    </x:row>
    <x:row r="22" ht="26" customHeight="1">
      <x:c r="A22" s="112"/>
      <x:c r="B22" s="112"/>
      <x:c r="C22" s="112"/>
      <x:c r="D22" s="112"/>
      <x:c r="E22" s="112"/>
      <x:c r="F22" s="112"/>
      <x:c r="G22" s="112"/>
      <x:c r="H22" s="112"/>
    </x:row>
    <x:row r="23" ht="26" customHeight="1">
      <x:c r="A23" s="112"/>
      <x:c r="B23" s="112"/>
      <x:c r="C23" s="112"/>
      <x:c r="D23" s="112"/>
      <x:c r="E23" s="112"/>
      <x:c r="F23" s="112"/>
      <x:c r="G23" s="112"/>
      <x:c r="H23" s="112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C9:H9"/>
    <x:mergeCell ref="C10:H10"/>
    <x:mergeCell ref="C11:H11"/>
    <x:mergeCell ref="C12:H12"/>
    <x:mergeCell ref="C13:H13"/>
    <x:mergeCell ref="A15:H15"/>
    <x:mergeCell ref="A16:B16"/>
    <x:mergeCell ref="C16:D16"/>
    <x:mergeCell ref="E16:F16"/>
    <x:mergeCell ref="G16:H16"/>
    <x:mergeCell ref="A17:B18"/>
    <x:mergeCell ref="C17:D18"/>
    <x:mergeCell ref="E17:F18"/>
    <x:mergeCell ref="G17:H18"/>
    <x:mergeCell ref="A20:H20"/>
    <x:mergeCell ref="A21:H23"/>
  </x:mergeCells>
  <x:pageMargins left="0.7" right="0.7" top="0.75" bottom="0.75" header="0.3" footer="0.3"/>
  <x:legacyDrawing xmlns:r="http://schemas.openxmlformats.org/officeDocument/2006/relationships" r:id="Rc8de6cf098244e8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22" hidden="0" customWidth="1"/>
    <x:col min="4" max="4" width="24" hidden="0" customWidth="1"/>
    <x:col min="5" max="5" width="12" hidden="0" customWidth="1"/>
    <x:col min="6" max="6" width="13" hidden="0" customWidth="1"/>
    <x:col min="7" max="7" width="12" hidden="0" customWidth="1"/>
    <x:col min="8" max="8" width="32" hidden="0" customWidth="1"/>
    <x:col min="9" max="9" width="52" hidden="0" customWidth="1"/>
    <x:col min="10" max="10" width="30" hidden="0" customWidth="1"/>
    <x:col min="11" max="11" width="48" hidden="0" customWidth="1"/>
    <x:col min="12" max="12" width="13" hidden="0" customWidth="1"/>
    <x:col min="13" max="13" width="46" hidden="0" customWidth="1"/>
  </x:cols>
  <x:sheetData>
    <x:row r="1" ht="34" customHeight="1">
      <x:c r="A1" s="3" t="str">
        <x:v>阿联酋（ARE）国家—语言检索边界</x:v>
      </x:c>
      <x:c r="B1" s="3" t="str">
        <x:v>阿联酋（ARE）国家—语言检索边界</x:v>
      </x:c>
      <x:c r="C1" s="3" t="str">
        <x:v>阿联酋（ARE）国家—语言检索边界</x:v>
      </x:c>
      <x:c r="D1" s="3" t="str">
        <x:v>阿联酋（ARE）国家—语言检索边界</x:v>
      </x:c>
      <x:c r="E1" s="3" t="str">
        <x:v>阿联酋（ARE）国家—语言检索边界</x:v>
      </x:c>
      <x:c r="F1" s="3" t="str">
        <x:v>阿联酋（ARE）国家—语言检索边界</x:v>
      </x:c>
      <x:c r="G1" s="3" t="str">
        <x:v>阿联酋（ARE）国家—语言检索边界</x:v>
      </x:c>
      <x:c r="H1" s="3" t="str">
        <x:v>阿联酋（ARE）国家—语言检索边界</x:v>
      </x:c>
      <x:c r="I1" s="3" t="str">
        <x:v>阿联酋（ARE）国家—语言检索边界</x:v>
      </x:c>
      <x:c r="J1" s="3" t="str">
        <x:v>阿联酋（ARE）国家—语言检索边界</x:v>
      </x:c>
      <x:c r="K1" s="3" t="str">
        <x:v>阿联酋（ARE）国家—语言检索边界</x:v>
      </x:c>
      <x:c r="L1" s="3" t="str">
        <x:v>阿联酋（ARE）国家—语言检索边界</x:v>
      </x:c>
    </x:row>
    <x:row r="2" ht="28" customHeight="1">
      <x:c r="A2" s="6" t="str">
        <x:v>规则：语言、storefront、regionCode 均不等于用户国家；国家归属单独记录证据与置信度。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2" customHeight="1">
      <x:c r="A4" s="15" t="str">
        <x:v>country_iso3</x:v>
      </x:c>
      <x:c r="B4" s="16" t="str">
        <x:v>country_name_cn</x:v>
      </x:c>
      <x:c r="C4" s="16" t="str">
        <x:v>country_name_en</x:v>
      </x:c>
      <x:c r="D4" s="16" t="str">
        <x:v>market_unit</x:v>
      </x:c>
      <x:c r="E4" s="16" t="str">
        <x:v>query_language</x:v>
      </x:c>
      <x:c r="F4" s="16" t="str">
        <x:v>language_code</x:v>
      </x:c>
      <x:c r="G4" s="16" t="str">
        <x:v>priority</x:v>
      </x:c>
      <x:c r="H4" s="16" t="str">
        <x:v>rationale</x:v>
      </x:c>
      <x:c r="I4" s="16" t="str">
        <x:v>seed_terms</x:v>
      </x:c>
      <x:c r="J4" s="16" t="str">
        <x:v>country_anchors</x:v>
      </x:c>
      <x:c r="K4" s="16" t="str">
        <x:v>geo_rule</x:v>
      </x:c>
      <x:c r="L4" s="16" t="str">
        <x:v>status</x:v>
      </x:c>
      <x:c r="M4" s="17" t="str">
        <x:v>source_url</x:v>
      </x:c>
    </x:row>
    <x:row r="5" ht="54" customHeight="1">
      <x:c r="A5" s="19" t="str">
        <x:v>ARE</x:v>
      </x:c>
      <x:c r="B5" s="19" t="str">
        <x:v>阿联酋</x:v>
      </x:c>
      <x:c r="C5" s="19" t="str">
        <x:v>United Arab Emirates</x:v>
      </x:c>
      <x:c r="D5" s="19" t="str">
        <x:v>国家级；必要时再拆 Dubai / Abu Dhabi 等酋长国</x:v>
      </x:c>
      <x:c r="E5" s="19" t="str">
        <x:v>阿拉伯语</x:v>
      </x:c>
      <x:c r="F5" s="19" t="str">
        <x:v>ar</x:v>
      </x:c>
      <x:c r="G5" s="19" t="str">
        <x:v>Core</x:v>
      </x:c>
      <x:c r="H5" s="19" t="str">
        <x:v>官方语言；必须覆盖阿语评价、问题词和本地化质量信号</x:v>
      </x:c>
      <x:c r="I5" s="19" t="str">
        <x:v>تجربة؛ مراجعة؛ مشاكل؛ بديل؛ اشتراك؛ رصيد؛ وكيل ذكاء اصطناعي؛ مساحة عمل</x:v>
      </x:c>
      <x:c r="J5" s="19" t="str">
        <x:v>الإمارات؛ دبي؛ أبوظبي؛ درهم؛ AED</x:v>
      </x:c>
      <x:c r="K5" s="19" t="str">
        <x:v>阿语本身不证明 ARE；至少再要正文/资料/城市/币种等地理证据</x:v>
      </x:c>
      <x:c r="L5" s="19" t="str">
        <x:v>Run</x:v>
      </x:c>
      <x:c r="M5" s="19" t="str">
        <x:v>https://u.ae/en/about-the-uae/fact-sheet</x:v>
      </x:c>
    </x:row>
    <x:row r="6" ht="54" customHeight="1">
      <x:c r="A6" s="19" t="str">
        <x:v>ARE</x:v>
      </x:c>
      <x:c r="B6" s="19" t="str">
        <x:v>阿联酋</x:v>
      </x:c>
      <x:c r="C6" s="19" t="str">
        <x:v>United Arab Emirates</x:v>
      </x:c>
      <x:c r="D6" s="19" t="str">
        <x:v>国家级；必要时再拆 Dubai / Abu Dhabi 等酋长国</x:v>
      </x:c>
      <x:c r="E6" s="19" t="str">
        <x:v>英语</x:v>
      </x:c>
      <x:c r="F6" s="19" t="str">
        <x:v>en</x:v>
      </x:c>
      <x:c r="G6" s="19" t="str">
        <x:v>Core</x:v>
      </x:c>
      <x:c r="H6" s="19" t="str">
        <x:v>阿联酋官方信息指出英语被广泛使用；公开工作反馈中英语样本密度更高</x:v>
      </x:c>
      <x:c r="I6" s="19" t="str">
        <x:v>review; experience; problem; alternative; subscription; credits; AI agent; workspace</x:v>
      </x:c>
      <x:c r="J6" s="19" t="str">
        <x:v>UAE; United Arab Emirates; Dubai; Abu Dhabi; AED; dirham</x:v>
      </x:c>
      <x:c r="K6" s="19" t="str">
        <x:v>英语本身不证明 ARE；UAE storefront 或检索参数也不能单独证明用户所在地</x:v>
      </x:c>
      <x:c r="L6" s="19" t="str">
        <x:v>Run</x:v>
      </x:c>
      <x:c r="M6" s="19" t="str">
        <x:v>https://u.ae/en/information-and-services/business/the-uae-an-ideal-investment-destination</x:v>
      </x:c>
    </x:row>
    <x:row r="7" ht="54" customHeight="1">
      <x:c r="A7" s="19" t="str">
        <x:v>ARE</x:v>
      </x:c>
      <x:c r="B7" s="19" t="str">
        <x:v>阿联酋</x:v>
      </x:c>
      <x:c r="C7" s="19" t="str">
        <x:v>United Arab Emirates</x:v>
      </x:c>
      <x:c r="D7" s="19" t="str">
        <x:v>国家级；必要时再拆 Dubai / Abu Dhabi 等酋长国</x:v>
      </x:c>
      <x:c r="E7" s="19" t="str">
        <x:v>印地语</x:v>
      </x:c>
      <x:c r="F7" s="19" t="str">
        <x:v>hi</x:v>
      </x:c>
      <x:c r="G7" s="19" t="str">
        <x:v>Exploratory</x:v>
      </x:c>
      <x:c r="H7" s="19" t="str">
        <x:v>用于测试非阿语/英语本地居民与工作人群信号，不作为首轮配额语言</x:v>
      </x:c>
      <x:c r="I7" s="19" t="str">
        <x:v>समीक्षा; अनुभव; समस्या; विकल्प; सदस्यता; क्रेडिट; एआई एजेंट</x:v>
      </x:c>
      <x:c r="J7" s="19" t="str">
        <x:v>UAE; दुबई; अबू धाबी; AED</x:v>
      </x:c>
      <x:c r="K7" s="19" t="str">
        <x:v>只有语言命中时归 Global/Unknown；首轮只记录渠道是否产出</x:v>
      </x:c>
      <x:c r="L7" s="19" t="str">
        <x:v>Probe</x:v>
      </x:c>
      <x:c r="M7" s="19" t="str">
        <x:v>https://u.ae/en/about-the-uae/fact-sheet</x:v>
      </x:c>
    </x:row>
    <x:row r="8" ht="54" customHeight="1">
      <x:c r="A8" s="19" t="str">
        <x:v>ARE</x:v>
      </x:c>
      <x:c r="B8" s="19" t="str">
        <x:v>阿联酋</x:v>
      </x:c>
      <x:c r="C8" s="19" t="str">
        <x:v>United Arab Emirates</x:v>
      </x:c>
      <x:c r="D8" s="19" t="str">
        <x:v>国家级；必要时再拆 Dubai / Abu Dhabi 等酋长国</x:v>
      </x:c>
      <x:c r="E8" s="19" t="str">
        <x:v>乌尔都语</x:v>
      </x:c>
      <x:c r="F8" s="19" t="str">
        <x:v>ur</x:v>
      </x:c>
      <x:c r="G8" s="19" t="str">
        <x:v>Exploratory</x:v>
      </x:c>
      <x:c r="H8" s="19" t="str">
        <x:v>阿联酋官方信息列为广泛使用语言之一；先验证公开渠道产出</x:v>
      </x:c>
      <x:c r="I8" s="19" t="str">
        <x:v>جائزہ؛ تجربہ؛ مسئلہ؛ متبادل؛ سبسکرپشن؛ کریڈٹ؛ اے آئی ایجنٹ</x:v>
      </x:c>
      <x:c r="J8" s="19" t="str">
        <x:v>UAE; دبئی; ابوظہبی; AED</x:v>
      </x:c>
      <x:c r="K8" s="19" t="str">
        <x:v>只有语言命中时归 Global/Unknown；首轮只记录渠道是否产出</x:v>
      </x:c>
      <x:c r="L8" s="19" t="str">
        <x:v>Probe</x:v>
      </x:c>
      <x:c r="M8" s="19" t="str">
        <x:v>https://u.ae/en/about-the-uae/fact-sheet</x:v>
      </x:c>
    </x:row>
    <x:row r="9" ht="54" customHeight="1">
      <x:c r="A9" s="19" t="str">
        <x:v>ARE</x:v>
      </x:c>
      <x:c r="B9" s="19" t="str">
        <x:v>阿联酋</x:v>
      </x:c>
      <x:c r="C9" s="19" t="str">
        <x:v>United Arab Emirates</x:v>
      </x:c>
      <x:c r="D9" s="19" t="str">
        <x:v>国家级；必要时再拆 Dubai / Abu Dhabi 等酋长国</x:v>
      </x:c>
      <x:c r="E9" s="19" t="str">
        <x:v>马拉雅拉姆语</x:v>
      </x:c>
      <x:c r="F9" s="19" t="str">
        <x:v>ml</x:v>
      </x:c>
      <x:c r="G9" s="19" t="str">
        <x:v>Watchlist</x:v>
      </x:c>
      <x:c r="H9" s="19" t="str">
        <x:v>阿联酋官方信息列为广泛使用语言之一；待核心语种跑通后再加</x:v>
      </x:c>
      <x:c r="I9" s="19" t="str">
        <x:v>അവലോകനം; അനുഭവം; പ്രശ്നം; സബ്സ്ക്രിപ്ഷൻ; ക്രെഡിറ്റ്; AI ഏജന്റ്</x:v>
      </x:c>
      <x:c r="J9" s="19" t="str">
        <x:v>UAE; ദുബായ്; അബുദാബി; AED</x:v>
      </x:c>
      <x:c r="K9" s="19" t="str">
        <x:v>不进入本轮样本配额；仅保留后续扩展入口</x:v>
      </x:c>
      <x:c r="L9" s="19" t="str">
        <x:v>Hold</x:v>
      </x:c>
      <x:c r="M9" s="19" t="str">
        <x:v>https://u.ae/en/about-the-uae/fact-sheet</x:v>
      </x:c>
    </x:row>
    <x:row r="10" ht="40" customHeight="1">
      <x:c r="A10" s="22" t="str">
        <x:v>Middle East guardrail：Saudi / UAE / Qatar / Kuwait / Bahrain / Oman 等必须分别设置 ISO3、国家锚点与语种组合；Arabic 只能作为 query_language，不能作为 country。</x:v>
      </x:c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</x:row>
  </x:sheetData>
  <x:mergeCells>
    <x:mergeCell ref="A1:L1"/>
    <x:mergeCell ref="A2:L2"/>
    <x:mergeCell ref="A10:L10"/>
  </x:mergeCells>
  <x:pageMargins left="0.7" right="0.7" top="0.75" bottom="0.75" header="0.3" footer="0.3"/>
  <x:legacyDrawing xmlns:r="http://schemas.openxmlformats.org/officeDocument/2006/relationships" r:id="R95cdf1730be84e76"/>
  <x:tableParts count="1">
    <x:tablePart xmlns:r="http://schemas.openxmlformats.org/officeDocument/2006/relationships" r:id="R0fffbbdc0ace48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34" hidden="0" customWidth="1"/>
    <x:col min="4" max="4" width="34" hidden="0" customWidth="1"/>
    <x:col min="5" max="5" width="34" hidden="0" customWidth="1"/>
    <x:col min="6" max="6" width="12" hidden="0" customWidth="1"/>
    <x:col min="7" max="7" width="12" hidden="0" customWidth="1"/>
    <x:col min="8" max="8" width="14" hidden="0" customWidth="1"/>
    <x:col min="9" max="9" width="46" hidden="0" customWidth="1"/>
    <x:col min="10" max="10" width="32" hidden="0" customWidth="1"/>
    <x:col min="11" max="11" width="40" hidden="0" customWidth="1"/>
    <x:col min="12" max="12" width="46" hidden="0" customWidth="1"/>
    <x:col min="13" max="13" width="42" hidden="0" customWidth="1"/>
    <x:col min="14" max="14" width="50" hidden="0" customWidth="1"/>
  </x:cols>
  <x:sheetData>
    <x:row r="1" ht="34" customHeight="1">
      <x:c r="A1" s="3" t="str">
        <x:v>Source Feasibility｜渠道可抓性与能拿到的字段</x:v>
      </x:c>
      <x:c r="B1" s="3" t="str">
        <x:v>Source Feasibility｜渠道可抓性与能拿到的字段</x:v>
      </x:c>
      <x:c r="C1" s="3" t="str">
        <x:v>Source Feasibility｜渠道可抓性与能拿到的字段</x:v>
      </x:c>
      <x:c r="D1" s="3" t="str">
        <x:v>Source Feasibility｜渠道可抓性与能拿到的字段</x:v>
      </x:c>
      <x:c r="E1" s="3" t="str">
        <x:v>Source Feasibility｜渠道可抓性与能拿到的字段</x:v>
      </x:c>
      <x:c r="F1" s="3" t="str">
        <x:v>Source Feasibility｜渠道可抓性与能拿到的字段</x:v>
      </x:c>
      <x:c r="G1" s="3" t="str">
        <x:v>Source Feasibility｜渠道可抓性与能拿到的字段</x:v>
      </x:c>
      <x:c r="H1" s="3" t="str">
        <x:v>Source Feasibility｜渠道可抓性与能拿到的字段</x:v>
      </x:c>
      <x:c r="I1" s="3" t="str">
        <x:v>Source Feasibility｜渠道可抓性与能拿到的字段</x:v>
      </x:c>
      <x:c r="J1" s="3" t="str">
        <x:v>Source Feasibility｜渠道可抓性与能拿到的字段</x:v>
      </x:c>
      <x:c r="K1" s="3" t="str">
        <x:v>Source Feasibility｜渠道可抓性与能拿到的字段</x:v>
      </x:c>
      <x:c r="L1" s="3" t="str">
        <x:v>Source Feasibility｜渠道可抓性与能拿到的字段</x:v>
      </x:c>
      <x:c r="M1" s="3" t="str">
        <x:v>Source Feasibility｜渠道可抓性与能拿到的字段</x:v>
      </x:c>
      <x:c r="N1" s="3" t="str">
        <x:v>Source Feasibility｜渠道可抓性与能拿到的字段</x:v>
      </x:c>
    </x:row>
    <x:row r="2" ht="28" customHeight="1">
      <x:c r="A2" s="27" t="str">
        <x:v>raw_found / coded_rows / high_geo_rows 从 Raw Feedback 与 Coded Feedback 公式汇总；可访问不等于允许批量抓取。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4" ht="32" customHeight="1">
      <x:c r="A4" s="15" t="str">
        <x:v>channel</x:v>
      </x:c>
      <x:c r="B4" s="16" t="str">
        <x:v>access_status</x:v>
      </x:c>
      <x:c r="C4" s="16" t="str">
        <x:v>public_access</x:v>
      </x:c>
      <x:c r="D4" s="16" t="str">
        <x:v>machine_access</x:v>
      </x:c>
      <x:c r="E4" s="16" t="str">
        <x:v>auth_or_rights</x:v>
      </x:c>
      <x:c r="F4" s="16" t="str">
        <x:v>raw_found</x:v>
      </x:c>
      <x:c r="G4" s="16" t="str">
        <x:v>coded_rows</x:v>
      </x:c>
      <x:c r="H4" s="16" t="str">
        <x:v>high_geo_rows</x:v>
      </x:c>
      <x:c r="I4" s="16" t="str">
        <x:v>dimensions_observed</x:v>
      </x:c>
      <x:c r="J4" s="16" t="str">
        <x:v>geo_strength</x:v>
      </x:c>
      <x:c r="K4" s="16" t="str">
        <x:v>main_bias</x:v>
      </x:c>
      <x:c r="L4" s="16" t="str">
        <x:v>pilot_recommendation</x:v>
      </x:c>
      <x:c r="M4" s="16" t="str">
        <x:v>pilot_test_outcome</x:v>
      </x:c>
      <x:c r="N4" s="17" t="str">
        <x:v>source_url</x:v>
      </x:c>
    </x:row>
    <x:row r="5" ht="72" customHeight="1">
      <x:c r="A5" s="19" t="str">
        <x:v>Trustpilot</x:v>
      </x:c>
      <x:c r="B5" s="19" t="str">
        <x:v>Manual-Review</x:v>
      </x:c>
      <x:c r="C5" s="19" t="str">
        <x:v>公开页面可读；页面位置会随新增评价变化</x:v>
      </x:c>
      <x:c r="D5" s="19" t="str">
        <x:v>本轮不做自动化批量抓取</x:v>
      </x:c>
      <x:c r="E5" s="19" t="str">
        <x:v>无需登录即可人工查看；规模化前需复核条款/许可</x:v>
      </x:c>
      <x:c r="F5" s="28" t="n">
        <x:f>COUNTIF('Raw Feedback'!$D$5:$D$100,A5)</x:f>
        <x:v>7</x:v>
      </x:c>
      <x:c r="G5" s="28" t="n">
        <x:f>COUNTIF('Coded Feedback'!$E$5:$E$100,A5)</x:f>
        <x:v>6</x:v>
      </x:c>
      <x:c r="H5" s="28" t="n">
        <x:f>COUNTIFS('Coded Feedback'!$E$5:$E$100,A5,'Coded Feedback'!$K$5:$K$100,"High")</x:f>
        <x:v>6</x:v>
      </x:c>
      <x:c r="I5" s="19" t="str">
        <x:v>资料国家、日期、评分、任务、结果、价格/积分、客服、迁移/留存</x:v>
      </x:c>
      <x:c r="J5" s="19" t="str">
        <x:v>Strong when profile country is shown</x:v>
      </x:c>
      <x:c r="K5" s="19" t="str">
        <x:v>主动评价与售后/投诉偏差；品牌页不代表总体用户</x:v>
      </x:c>
      <x:c r="L5" s="19" t="str">
        <x:v>首轮核心渠道；人工采样+编码，保存作者/日期定位</x:v>
      </x:c>
      <x:c r="M5" s="19" t="str">
        <x:v>顺利；获得 6 条可编码 ARE 样本</x:v>
      </x:c>
      <x:c r="N5" s="19" t="str">
        <x:v>https://www.trustpilot.com/</x:v>
      </x:c>
    </x:row>
    <x:row r="6" ht="72" customHeight="1">
      <x:c r="A6" s="19" t="str">
        <x:v>Apple App Store</x:v>
      </x:c>
      <x:c r="B6" s="19" t="str">
        <x:v>Manual-Review</x:v>
      </x:c>
      <x:c r="C6" s="19" t="str">
        <x:v>ARE storefront 评论页可直接访问</x:v>
      </x:c>
      <x:c r="D6" s="19" t="str">
        <x:v>公开页可解析，但竞争对手评论无官方批量导出接口</x:v>
      </x:c>
      <x:c r="E6" s="19" t="str">
        <x:v>公开查看；规模化前需复核条款/许可</x:v>
      </x:c>
      <x:c r="F6" s="28" t="n">
        <x:f>COUNTIF('Raw Feedback'!$D$5:$D$100,A6)</x:f>
        <x:v>7</x:v>
      </x:c>
      <x:c r="G6" s="28" t="n">
        <x:f>COUNTIF('Coded Feedback'!$E$5:$E$100,A6)</x:f>
        <x:v>6</x:v>
      </x:c>
      <x:c r="H6" s="28" t="n">
        <x:f>COUNTIFS('Coded Feedback'!$E$5:$E$100,A6,'Coded Feedback'!$K$5:$K$100,"High")</x:f>
        <x:v>0</x:v>
      </x:c>
      <x:c r="I6" s="19" t="str">
        <x:v>昵称、日期、评论、评分显示、产品任务、价格/积分、替代品</x:v>
      </x:c>
      <x:c r="J6" s="19" t="str">
        <x:v>Weak: storefront is not reviewer residence</x:v>
      </x:c>
      <x:c r="K6" s="19" t="str">
        <x:v>移动端/商店样本；storefront 地理误判风险高</x:v>
      </x:c>
      <x:c r="L6" s="19" t="str">
        <x:v>作为主题发现池；仅 storefront 的记录标 Low，不单独做国家结论</x:v>
      </x:c>
      <x:c r="M6" s="19" t="str">
        <x:v>顺利拿量；6 条可编码假设样本，另发现 1 条地理反例</x:v>
      </x:c>
      <x:c r="N6" s="19" t="str">
        <x:v>https://apps.apple.com/ae/</x:v>
      </x:c>
    </x:row>
    <x:row r="7" ht="72" customHeight="1">
      <x:c r="A7" s="19" t="str">
        <x:v>Reddit</x:v>
      </x:c>
      <x:c r="B7" s="19" t="str">
        <x:v>Conditional</x:v>
      </x:c>
      <x:c r="C7" s="19" t="str">
        <x:v>公开帖子可经搜索引擎发现并人工阅读</x:v>
      </x:c>
      <x:c r="D7" s="19" t="str">
        <x:v>不做未授权批量抓取；官方 Data API 使用受条款约束</x:v>
      </x:c>
      <x:c r="E7" s="19" t="str">
        <x:v>商业/扩展研究需按 Reddit Data API 条款单独评估</x:v>
      </x:c>
      <x:c r="F7" s="28" t="n">
        <x:f>COUNTIF('Raw Feedback'!$D$5:$D$100,A7)</x:f>
        <x:v>3</x:v>
      </x:c>
      <x:c r="G7" s="28" t="n">
        <x:f>COUNTIF('Coded Feedback'!$E$5:$E$100,A7)</x:f>
        <x:v>1</x:v>
      </x:c>
      <x:c r="H7" s="28" t="n">
        <x:f>COUNTIFS('Coded Feedback'!$E$5:$E$100,A7,'Coded Feedback'!$K$5:$K$100,"High")</x:f>
        <x:v>1</x:v>
      </x:c>
      <x:c r="I7" s="19" t="str">
        <x:v>正文自述地理、任务上下文、工作链路、替代品、留存、互动</x:v>
      </x:c>
      <x:c r="J7" s="19" t="str">
        <x:v>Variable; strong only with explicit self-location</x:v>
      </x:c>
      <x:c r="K7" s="19" t="str">
        <x:v>社区选择偏差；命中率低；子版块不等于常住地</x:v>
      </x:c>
      <x:c r="L7" s="19" t="str">
        <x:v>保留低量高信息密度的人工发现；每条单独做地理证据审查</x:v>
      </x:c>
      <x:c r="M7" s="19" t="str">
        <x:v>低产出但高价值；1 条明确 Dubai 的 Comet 深度样本</x:v>
      </x:c>
      <x:c r="N7" s="19" t="str">
        <x:v>https://redditinc.com/policies/data-api-terms</x:v>
      </x:c>
    </x:row>
    <x:row r="8" ht="72" customHeight="1">
      <x:c r="A8" s="19" t="str">
        <x:v>Google Play</x:v>
      </x:c>
      <x:c r="B8" s="19" t="str">
        <x:v>Manual-Review</x:v>
      </x:c>
      <x:c r="C8" s="19" t="str">
        <x:v>公开评论页可读并可指定界面语言</x:v>
      </x:c>
      <x:c r="D8" s="19" t="str">
        <x:v>官方 Reviews API 面向经授权的自有应用，不是竞品评论导出</x:v>
      </x:c>
      <x:c r="E8" s="19" t="str">
        <x:v>公开查看；官方 API 需发布者授权</x:v>
      </x:c>
      <x:c r="F8" s="28" t="n">
        <x:f>COUNTIF('Raw Feedback'!$D$5:$D$100,A8)</x:f>
        <x:v>1</x:v>
      </x:c>
      <x:c r="G8" s="28" t="n">
        <x:f>COUNTIF('Coded Feedback'!$E$5:$E$100,A8)</x:f>
        <x:v>0</x:v>
      </x:c>
      <x:c r="H8" s="28" t="n">
        <x:f>COUNTIFS('Coded Feedback'!$E$5:$E$100,A8,'Coded Feedback'!$K$5:$K$100,"High")</x:f>
        <x:v>0</x:v>
      </x:c>
      <x:c r="I8" s="19" t="str">
        <x:v>评论、日期、评分、语言、产品问题；用户国家通常缺失</x:v>
      </x:c>
      <x:c r="J8" s="19" t="str">
        <x:v>Weak</x:v>
      </x:c>
      <x:c r="K8" s="19" t="str">
        <x:v>界面语言/商店参数不等于用户国家</x:v>
      </x:c>
      <x:c r="L8" s="19" t="str">
        <x:v>作为多语言主题发现池；无额外地理证据不进入 ARE 核心样本</x:v>
      </x:c>
      <x:c r="M8" s="19" t="str">
        <x:v>可访问；阿语评论有用，但本轮无法归因到 ARE</x:v>
      </x:c>
      <x:c r="N8" s="19" t="str">
        <x:v>https://developers.google.com/android-publisher/api-ref/rest/v3/reviews/list</x:v>
      </x:c>
    </x:row>
    <x:row r="9" ht="72" customHeight="1">
      <x:c r="A9" s="19" t="str">
        <x:v>YouTube</x:v>
      </x:c>
      <x:c r="B9" s="19" t="str">
        <x:v>Conditional</x:v>
      </x:c>
      <x:c r="C9" s="19" t="str">
        <x:v>视频页/搜索结果可人工发现</x:v>
      </x:c>
      <x:c r="D9" s="19" t="str">
        <x:v>Data API 可检索视频与评论线程</x:v>
      </x:c>
      <x:c r="E9" s="19" t="str">
        <x:v>需要 API key；配额与条款限制</x:v>
      </x:c>
      <x:c r="F9" s="28" t="n">
        <x:f>COUNTIF('Raw Feedback'!$D$5:$D$100,A9)</x:f>
        <x:v>1</x:v>
      </x:c>
      <x:c r="G9" s="28" t="n">
        <x:f>COUNTIF('Coded Feedback'!$E$5:$E$100,A9)</x:f>
        <x:v>0</x:v>
      </x:c>
      <x:c r="H9" s="28" t="n">
        <x:f>COUNTIFS('Coded Feedback'!$E$5:$E$100,A9,'Coded Feedback'!$K$5:$K$100,"High")</x:f>
        <x:v>0</x:v>
      </x:c>
      <x:c r="I9" s="19" t="str">
        <x:v>视频日期/频道/互动、评论文本、语言；作者国家通常缺失</x:v>
      </x:c>
      <x:c r="J9" s="19" t="str">
        <x:v>Weak</x:v>
      </x:c>
      <x:c r="K9" s="19" t="str">
        <x:v>regionCode/relevanceLanguage 只影响检索，不证明评论者所在地</x:v>
      </x:c>
      <x:c r="L9" s="19" t="str">
        <x:v>拿到 key 后测评论产出；当前只用于发现，不归因国家</x:v>
      </x:c>
      <x:c r="M9" s="19" t="str">
        <x:v>发现阿语 Cowork 内容，但无 UAE 证据；API 未执行</x:v>
      </x:c>
      <x:c r="N9" s="19" t="str">
        <x:v>https://developers.google.com/youtube/v3/docs/commentThreads/list</x:v>
      </x:c>
    </x:row>
    <x:row r="10" ht="72" customHeight="1">
      <x:c r="A10" s="19" t="str">
        <x:v>GitHub</x:v>
      </x:c>
      <x:c r="B10" s="19" t="str">
        <x:v>Ready-API</x:v>
      </x:c>
      <x:c r="C10" s="19" t="str">
        <x:v>公开 issues/discussions 可搜索</x:v>
      </x:c>
      <x:c r="D10" s="19" t="str">
        <x:v>REST Search API；未认证配额较低</x:v>
      </x:c>
      <x:c r="E10" s="19" t="str">
        <x:v>公开数据；仍需遵守 API 与仓库许可</x:v>
      </x:c>
      <x:c r="F10" s="28" t="n">
        <x:f>COUNTIF('Raw Feedback'!$D$5:$D$100,A10)</x:f>
        <x:v>0</x:v>
      </x:c>
      <x:c r="G10" s="28" t="n">
        <x:f>COUNTIF('Coded Feedback'!$E$5:$E$100,A10)</x:f>
        <x:v>0</x:v>
      </x:c>
      <x:c r="H10" s="28" t="n">
        <x:f>COUNTIFS('Coded Feedback'!$E$5:$E$100,A10,'Coded Feedback'!$K$5:$K$100,"High")</x:f>
        <x:v>0</x:v>
      </x:c>
      <x:c r="I10" s="19" t="str">
        <x:v>版本、复现步骤、错误阶段、技术环境、维护状态</x:v>
      </x:c>
      <x:c r="J10" s="19" t="str">
        <x:v>Very weak</x:v>
      </x:c>
      <x:c r="K10" s="19" t="str">
        <x:v>技术用户偏差；本轮闭源竞品缺少官方问题面</x:v>
      </x:c>
      <x:c r="L10" s="19" t="str">
        <x:v>仅对有公开 repo/extension 的竞品启用</x:v>
      </x:c>
      <x:c r="M10" s="19" t="str">
        <x:v>接口可用，但本轮目标产品未产出 ARE 反馈</x:v>
      </x:c>
      <x:c r="N10" s="19" t="str">
        <x:v>https://docs.github.com/en/rest/search/search</x:v>
      </x:c>
    </x:row>
    <x:row r="11" ht="72" customHeight="1">
      <x:c r="A11" s="19" t="str">
        <x:v>Product Hunt</x:v>
      </x:c>
      <x:c r="B11" s="19" t="str">
        <x:v>Conditional</x:v>
      </x:c>
      <x:c r="C11" s="19" t="str">
        <x:v>产品页可人工阅读</x:v>
      </x:c>
      <x:c r="D11" s="19" t="str">
        <x:v>GraphQL API</x:v>
      </x:c>
      <x:c r="E11" s="19" t="str">
        <x:v>需要 API key/OAuth token</x:v>
      </x:c>
      <x:c r="F11" s="28" t="n">
        <x:f>COUNTIF('Raw Feedback'!$D$5:$D$100,A11)</x:f>
        <x:v>0</x:v>
      </x:c>
      <x:c r="G11" s="28" t="n">
        <x:f>COUNTIF('Coded Feedback'!$E$5:$E$100,A11)</x:f>
        <x:v>0</x:v>
      </x:c>
      <x:c r="H11" s="28" t="n">
        <x:f>COUNTIFS('Coded Feedback'!$E$5:$E$100,A11,'Coded Feedback'!$K$5:$K$100,"High")</x:f>
        <x:v>0</x:v>
      </x:c>
      <x:c r="I11" s="19" t="str">
        <x:v>发布、评论、早期用户反应、替代品；国家信息弱</x:v>
      </x:c>
      <x:c r="J11" s="19" t="str">
        <x:v>Weak</x:v>
      </x:c>
      <x:c r="K11" s="19" t="str">
        <x:v>早期采用者/发布活动偏差；难做国家归因</x:v>
      </x:c>
      <x:c r="L11" s="19" t="str">
        <x:v>用于全球新品/定位，不作为国家反馈主渠道</x:v>
      </x:c>
      <x:c r="M11" s="19" t="str">
        <x:v>本轮未获得可归因 ARE 样本</x:v>
      </x:c>
      <x:c r="N11" s="19" t="str">
        <x:v>https://www.producthunt.com/v2/docs</x:v>
      </x:c>
    </x:row>
    <x:row r="12" ht="72" customHeight="1">
      <x:c r="A12" s="19" t="str">
        <x:v>G2/Capterra</x:v>
      </x:c>
      <x:c r="B12" s="19" t="str">
        <x:v>Candidate-Validate</x:v>
      </x:c>
      <x:c r="C12" s="19" t="str">
        <x:v>部分公开页可人工查看</x:v>
      </x:c>
      <x:c r="D12" s="19" t="str">
        <x:v>未确认适合本项目的公开竞品评论导出</x:v>
      </x:c>
      <x:c r="E12" s="19" t="str">
        <x:v>批量使用/再分发需单独审查平台条款或授权</x:v>
      </x:c>
      <x:c r="F12" s="28" t="n">
        <x:f>COUNTIF('Raw Feedback'!$D$5:$D$100,A12)</x:f>
        <x:v>0</x:v>
      </x:c>
      <x:c r="G12" s="28" t="n">
        <x:f>COUNTIF('Coded Feedback'!$E$5:$E$100,A12)</x:f>
        <x:v>0</x:v>
      </x:c>
      <x:c r="H12" s="28" t="n">
        <x:f>COUNTIFS('Coded Feedback'!$E$5:$E$100,A12,'Coded Feedback'!$K$5:$K$100,"High")</x:f>
        <x:v>0</x:v>
      </x:c>
      <x:c r="I12" s="19" t="str">
        <x:v>角色、公司规模、行业、优缺点、评分（若页面提供）</x:v>
      </x:c>
      <x:c r="J12" s="19" t="str">
        <x:v>Medium at best</x:v>
      </x:c>
      <x:c r="K12" s="19" t="str">
        <x:v>B2B 评论激励/审核机制与产品覆盖差异</x:v>
      </x:c>
      <x:c r="L12" s="19" t="str">
        <x:v>二轮验证；先确认目标竞品覆盖和 ARE 筛选能力</x:v>
      </x:c>
      <x:c r="M12" s="19" t="str">
        <x:v>搜索未发现稳定的 ARE 样本入口</x:v>
      </x:c>
      <x:c r="N12" s="19" t="str">
        <x:v>https://www.g2.com/</x:v>
      </x:c>
    </x:row>
    <x:row r="13" ht="72" customHeight="1">
      <x:c r="A13" s="19" t="str">
        <x:v>Search engine index</x:v>
      </x:c>
      <x:c r="B13" s="19" t="str">
        <x:v>Ready-Discovery</x:v>
      </x:c>
      <x:c r="C13" s="19" t="str">
        <x:v>可检索公开索引结果</x:v>
      </x:c>
      <x:c r="D13" s="19" t="str">
        <x:v>只作为发现层，不把搜索摘要当原始反馈</x:v>
      </x:c>
      <x:c r="E13" s="19" t="str">
        <x:v>按搜索服务条款使用</x:v>
      </x:c>
      <x:c r="F13" s="28" t="n">
        <x:f>COUNTIF('Raw Feedback'!$D$5:$D$100,A13)</x:f>
        <x:v>0</x:v>
      </x:c>
      <x:c r="G13" s="28" t="n">
        <x:f>COUNTIF('Coded Feedback'!$E$5:$E$100,A13)</x:f>
        <x:v>0</x:v>
      </x:c>
      <x:c r="H13" s="28" t="n">
        <x:f>COUNTIFS('Coded Feedback'!$E$5:$E$100,A13,'Coded Feedback'!$K$5:$K$100,"High")</x:f>
        <x:v>0</x:v>
      </x:c>
      <x:c r="I13" s="19" t="str">
        <x:v>候选 URL、标题、日期片段、国家/语言关键词</x:v>
      </x:c>
      <x:c r="J13" s="19" t="str">
        <x:v>None by itself</x:v>
      </x:c>
      <x:c r="K13" s="19" t="str">
        <x:v>排名/索引偏差；摘要可能过期或截断</x:v>
      </x:c>
      <x:c r="L13" s="19" t="str">
        <x:v>用于跨平台找入口；必须回到原始页面编码</x:v>
      </x:c>
      <x:c r="M13" s="19" t="str">
        <x:v>顺利支持多渠道发现，也暴露大量错国/错语种结果</x:v>
      </x:c>
      <x:c r="N13" s="19" t="str">
        <x:v>https://www.google.com/</x:v>
      </x:c>
    </x:row>
    <x:row r="14" ht="72" customHeight="1">
      <x:c r="A14" s="19" t="str">
        <x:v>Publisher review APIs</x:v>
      </x:c>
      <x:c r="B14" s="19" t="str">
        <x:v>Reference-Only</x:v>
      </x:c>
      <x:c r="C14" s="19" t="str">
        <x:v>不提供竞品评论公开导出</x:v>
      </x:c>
      <x:c r="D14" s="19" t="str">
        <x:v>Apple/Google 官方接口面向开发者自有应用</x:v>
      </x:c>
      <x:c r="E14" s="19" t="str">
        <x:v>需要对应发布者账户与应用权限</x:v>
      </x:c>
      <x:c r="F14" s="28" t="n">
        <x:f>COUNTIF('Raw Feedback'!$D$5:$D$100,A14)</x:f>
        <x:v>0</x:v>
      </x:c>
      <x:c r="G14" s="28" t="n">
        <x:f>COUNTIF('Coded Feedback'!$E$5:$E$100,A14)</x:f>
        <x:v>0</x:v>
      </x:c>
      <x:c r="H14" s="28" t="n">
        <x:f>COUNTIFS('Coded Feedback'!$E$5:$E$100,A14,'Coded Feedback'!$K$5:$K$100,"High")</x:f>
        <x:v>0</x:v>
      </x:c>
      <x:c r="I14" s="19" t="str">
        <x:v>自有应用评分/评论/回复工作流</x:v>
      </x:c>
      <x:c r="J14" s="19" t="str">
        <x:v>N/A for competitor research</x:v>
      </x:c>
      <x:c r="K14" s="19" t="str">
        <x:v>权限边界决定无法用于竞品</x:v>
      </x:c>
      <x:c r="L14" s="19" t="str">
        <x:v>不纳入竞品采集；未来只用于我方产品反馈</x:v>
      </x:c>
      <x:c r="M14" s="19" t="str">
        <x:v>不适用</x:v>
      </x:c>
      <x:c r="N14" s="19" t="str">
        <x:v>https://developer.apple.com/documentation/appstoreconnectapi/customer-reviews</x:v>
      </x:c>
    </x:row>
    <x:row r="15" ht="72" customHeight="1">
      <x:c r="A15" s="19" t="str">
        <x:v>Chrome Web Store</x:v>
      </x:c>
      <x:c r="B15" s="19" t="str">
        <x:v>Reference-Only</x:v>
      </x:c>
      <x:c r="C15" s="19" t="str">
        <x:v>扩展详情/评论可人工查看（若竞品有扩展）</x:v>
      </x:c>
      <x:c r="D15" s="19" t="str">
        <x:v>官方 API 主要是发布者管理，不是竞品评论导出</x:v>
      </x:c>
      <x:c r="E15" s="19" t="str">
        <x:v>发布 API 需要所有者授权</x:v>
      </x:c>
      <x:c r="F15" s="28" t="n">
        <x:f>COUNTIF('Raw Feedback'!$D$5:$D$100,A15)</x:f>
        <x:v>0</x:v>
      </x:c>
      <x:c r="G15" s="28" t="n">
        <x:f>COUNTIF('Coded Feedback'!$E$5:$E$100,A15)</x:f>
        <x:v>0</x:v>
      </x:c>
      <x:c r="H15" s="28" t="n">
        <x:f>COUNTIFS('Coded Feedback'!$E$5:$E$100,A15,'Coded Feedback'!$K$5:$K$100,"High")</x:f>
        <x:v>0</x:v>
      </x:c>
      <x:c r="I15" s="19" t="str">
        <x:v>扩展版本、评分、评论、浏览器工作流</x:v>
      </x:c>
      <x:c r="J15" s="19" t="str">
        <x:v>Weak</x:v>
      </x:c>
      <x:c r="K15" s="19" t="str">
        <x:v>只覆盖浏览器扩展用户；目标产品覆盖不一</x:v>
      </x:c>
      <x:c r="L15" s="19" t="str">
        <x:v>有扩展的竞品再单独测；不作为通用入口</x:v>
      </x:c>
      <x:c r="M15" s="19" t="str">
        <x:v>本轮未产出 ARE 样本</x:v>
      </x:c>
      <x:c r="N15" s="19" t="str">
        <x:v>https://developer.chrome.com/docs/webstore/using-api</x:v>
      </x:c>
    </x:row>
    <x:row r="16" ht="72" customHeight="1">
      <x:c r="A16" s="19" t="str">
        <x:v>Editorial/SEO</x:v>
      </x:c>
      <x:c r="B16" s="19" t="str">
        <x:v>Discovery-Only</x:v>
      </x:c>
      <x:c r="C16" s="19" t="str">
        <x:v>公开文章可读</x:v>
      </x:c>
      <x:c r="D16" s="19" t="str">
        <x:v>不作为用户反馈抓取</x:v>
      </x:c>
      <x:c r="E16" s="19" t="str">
        <x:v>按网页版权/引用规范使用</x:v>
      </x:c>
      <x:c r="F16" s="28" t="n">
        <x:f>COUNTIF('Raw Feedback'!$D$5:$D$100,A16)</x:f>
        <x:v>1</x:v>
      </x:c>
      <x:c r="G16" s="28" t="n">
        <x:f>COUNTIF('Coded Feedback'!$E$5:$E$100,A16)</x:f>
        <x:v>0</x:v>
      </x:c>
      <x:c r="H16" s="28" t="n">
        <x:f>COUNTIFS('Coded Feedback'!$E$5:$E$100,A16,'Coded Feedback'!$K$5:$K$100,"High")</x:f>
        <x:v>0</x:v>
      </x:c>
      <x:c r="I16" s="19" t="str">
        <x:v>本地关键词、产品定位、可能的用例线索</x:v>
      </x:c>
      <x:c r="J16" s="19" t="str">
        <x:v>Article market, not user location</x:v>
      </x:c>
      <x:c r="K16" s="19" t="str">
        <x:v>SEO/联盟/编辑观点；不能冒充用户证据</x:v>
      </x:c>
      <x:c r="L16" s="19" t="str">
        <x:v>只提取检索词和待验证假设</x:v>
      </x:c>
      <x:c r="M16" s="19" t="str">
        <x:v>发现 UAE 定向文章，因非用户反馈排除</x:v>
      </x:c>
      <x:c r="N16" s="19" t="str">
        <x:v>https://menaelite.com/manus-ai-agent-review-uae-2026/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82d4ab5c7c2145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2" hidden="0" customWidth="1"/>
    <x:col min="4" max="4" width="14" hidden="0" customWidth="1"/>
    <x:col min="5" max="5" width="56" hidden="0" customWidth="1"/>
    <x:col min="6" max="6" width="26" hidden="0" customWidth="1"/>
    <x:col min="7" max="7" width="28" hidden="0" customWidth="1"/>
    <x:col min="8" max="8" width="22" hidden="0" customWidth="1"/>
    <x:col min="9" max="9" width="14" hidden="0" customWidth="1"/>
    <x:col min="10" max="10" width="13" hidden="0" customWidth="1"/>
    <x:col min="11" max="11" width="20" hidden="0" customWidth="1"/>
    <x:col min="12" max="12" width="34" hidden="0" customWidth="1"/>
    <x:col min="13" max="13" width="48" hidden="0" customWidth="1"/>
  </x:cols>
  <x:sheetData>
    <x:row r="1" ht="34" customHeight="1">
      <x:c r="A1" s="3" t="str">
        <x:v>Query Log｜可复现检索与漏斗</x:v>
      </x:c>
      <x:c r="B1" s="3" t="str">
        <x:v>Query Log｜可复现检索与漏斗</x:v>
      </x:c>
      <x:c r="C1" s="3" t="str">
        <x:v>Query Log｜可复现检索与漏斗</x:v>
      </x:c>
      <x:c r="D1" s="3" t="str">
        <x:v>Query Log｜可复现检索与漏斗</x:v>
      </x:c>
      <x:c r="E1" s="3" t="str">
        <x:v>Query Log｜可复现检索与漏斗</x:v>
      </x:c>
      <x:c r="F1" s="3" t="str">
        <x:v>Query Log｜可复现检索与漏斗</x:v>
      </x:c>
      <x:c r="G1" s="3" t="str">
        <x:v>Query Log｜可复现检索与漏斗</x:v>
      </x:c>
      <x:c r="H1" s="3" t="str">
        <x:v>Query Log｜可复现检索与漏斗</x:v>
      </x:c>
      <x:c r="I1" s="3" t="str">
        <x:v>Query Log｜可复现检索与漏斗</x:v>
      </x:c>
      <x:c r="J1" s="3" t="str">
        <x:v>Query Log｜可复现检索与漏斗</x:v>
      </x:c>
      <x:c r="K1" s="3" t="str">
        <x:v>Query Log｜可复现检索与漏斗</x:v>
      </x:c>
      <x:c r="L1" s="3" t="str">
        <x:v>Query Log｜可复现检索与漏斗</x:v>
      </x:c>
      <x:c r="M1" s="3" t="str">
        <x:v>Query Log｜可复现检索与漏斗</x:v>
      </x:c>
    </x:row>
    <x:row r="2" ht="28" customHeight="1">
      <x:c r="A2" s="24" t="str">
        <x:v>记录 exact_query、国家锚点、时间窗、候选数、编码数和错国/错语种原因；搜索摘要不是原始证据。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</x:row>
    <x:row r="4" ht="32" customHeight="1">
      <x:c r="A4" s="15" t="str">
        <x:v>query_id</x:v>
      </x:c>
      <x:c r="B4" s="16" t="str">
        <x:v>channel</x:v>
      </x:c>
      <x:c r="C4" s="16" t="str">
        <x:v>product</x:v>
      </x:c>
      <x:c r="D4" s="16" t="str">
        <x:v>query_language</x:v>
      </x:c>
      <x:c r="E4" s="16" t="str">
        <x:v>exact_query</x:v>
      </x:c>
      <x:c r="F4" s="16" t="str">
        <x:v>country_anchor</x:v>
      </x:c>
      <x:c r="G4" s="16" t="str">
        <x:v>time_window</x:v>
      </x:c>
      <x:c r="H4" s="16" t="str">
        <x:v>pages_checked</x:v>
      </x:c>
      <x:c r="I4" s="16" t="str">
        <x:v>candidates_seen</x:v>
      </x:c>
      <x:c r="J4" s="16" t="str">
        <x:v>coded_count</x:v>
      </x:c>
      <x:c r="K4" s="16" t="str">
        <x:v>outcome</x:v>
      </x:c>
      <x:c r="L4" s="16" t="str">
        <x:v>leakage</x:v>
      </x:c>
      <x:c r="M4" s="17" t="str">
        <x:v>note</x:v>
      </x:c>
    </x:row>
    <x:row r="5" ht="48" customHeight="1">
      <x:c r="A5" s="19" t="str">
        <x:v>Q-ARE-001</x:v>
      </x:c>
      <x:c r="B5" s="19" t="str">
        <x:v>Trustpilot</x:v>
      </x:c>
      <x:c r="C5" s="19" t="str">
        <x:v>Genspark</x:v>
      </x:c>
      <x:c r="D5" s="19" t="str">
        <x:v>en</x:v>
      </x:c>
      <x:c r="E5" s="19" t="str">
        <x:v>site:trustpilot.com/review/genspark.ai "AE" Genspark</x:v>
      </x:c>
      <x:c r="F5" s="19" t="str">
        <x:v>AE profile tag</x:v>
      </x:c>
      <x:c r="G5" s="19" t="str">
        <x:v>2025-09-01 to 2026-09-03</x:v>
      </x:c>
      <x:c r="H5" s="19" t="str">
        <x:v>pages 3, 4, 7, 9</x:v>
      </x:c>
      <x:c r="I5" s="19" t="n">
        <x:v>4</x:v>
      </x:c>
      <x:c r="J5" s="19" t="n">
        <x:v>4</x:v>
      </x:c>
      <x:c r="K5" s="19" t="str">
        <x:v>Yield</x:v>
      </x:c>
      <x:c r="L5" s="19" t="str">
        <x:v>Page order changes over time</x:v>
      </x:c>
      <x:c r="M5" s="19" t="str">
        <x:v>按作者名+日期复核；任务、积分和迁移字段丰富</x:v>
      </x:c>
    </x:row>
    <x:row r="6" ht="48" customHeight="1">
      <x:c r="A6" s="19" t="str">
        <x:v>Q-ARE-002</x:v>
      </x:c>
      <x:c r="B6" s="19" t="str">
        <x:v>Trustpilot</x:v>
      </x:c>
      <x:c r="C6" s="19" t="str">
        <x:v>Manus</x:v>
      </x:c>
      <x:c r="D6" s="19" t="str">
        <x:v>en/es</x:v>
      </x:c>
      <x:c r="E6" s="19" t="str">
        <x:v>site:trustpilot.com/review/manus.im "David Erreyes"</x:v>
      </x:c>
      <x:c r="F6" s="19" t="str">
        <x:v>AE profile tag</x:v>
      </x:c>
      <x:c r="G6" s="19" t="str">
        <x:v>2025-09-01 to 2026-09-03</x:v>
      </x:c>
      <x:c r="H6" s="19" t="str">
        <x:v>brand page</x:v>
      </x:c>
      <x:c r="I6" s="19" t="n">
        <x:v>1</x:v>
      </x:c>
      <x:c r="J6" s="19" t="n">
        <x:v>1</x:v>
      </x:c>
      <x:c r="K6" s="19" t="str">
        <x:v>Yield</x:v>
      </x:c>
      <x:c r="L6" s="19" t="str">
        <x:v>西语站点界面不代表评论语种/国家</x:v>
      </x:c>
      <x:c r="M6" s="19" t="str">
        <x:v>获取到应用构建、积分退款和锁定效应</x:v>
      </x:c>
    </x:row>
    <x:row r="7" ht="48" customHeight="1">
      <x:c r="A7" s="19" t="str">
        <x:v>Q-ARE-003</x:v>
      </x:c>
      <x:c r="B7" s="19" t="str">
        <x:v>Trustpilot</x:v>
      </x:c>
      <x:c r="C7" s="19" t="str">
        <x:v>Perplexity</x:v>
      </x:c>
      <x:c r="D7" s="19" t="str">
        <x:v>en</x:v>
      </x:c>
      <x:c r="E7" s="19" t="str">
        <x:v>site:trustpilot.com/review/www.perplexity.ai "AE" subscription charged</x:v>
      </x:c>
      <x:c r="F7" s="19" t="str">
        <x:v>AE profile tag</x:v>
      </x:c>
      <x:c r="G7" s="19" t="str">
        <x:v>2025-09-01 to 2026-09-03</x:v>
      </x:c>
      <x:c r="H7" s="19" t="str">
        <x:v>page 3</x:v>
      </x:c>
      <x:c r="I7" s="19" t="n">
        <x:v>1</x:v>
      </x:c>
      <x:c r="J7" s="19" t="n">
        <x:v>1</x:v>
      </x:c>
      <x:c r="K7" s="19" t="str">
        <x:v>Adjacent yield</x:v>
      </x:c>
      <x:c r="L7" s="19" t="str">
        <x:v>属于产品账单而非 Comet 工作任务</x:v>
      </x:c>
      <x:c r="M7" s="19" t="str">
        <x:v>保留为商业系统/售后边界样本</x:v>
      </x:c>
    </x:row>
    <x:row r="8" ht="48" customHeight="1">
      <x:c r="A8" s="19" t="str">
        <x:v>Q-ARE-004</x:v>
      </x:c>
      <x:c r="B8" s="19" t="str">
        <x:v>Trustpilot</x:v>
      </x:c>
      <x:c r="C8" s="19" t="str">
        <x:v>ChatGPT</x:v>
      </x:c>
      <x:c r="D8" s="19" t="str">
        <x:v>en</x:v>
      </x:c>
      <x:c r="E8" s="19" t="str">
        <x:v>site:trustpilot.com/review/chatgpt.com "AE" simple task</x:v>
      </x:c>
      <x:c r="F8" s="19" t="str">
        <x:v>AE profile tag</x:v>
      </x:c>
      <x:c r="G8" s="19" t="str">
        <x:v>2025-09-01 to 2026-09-03</x:v>
      </x:c>
      <x:c r="H8" s="19" t="str">
        <x:v>page 5</x:v>
      </x:c>
      <x:c r="I8" s="19" t="n">
        <x:v>1</x:v>
      </x:c>
      <x:c r="J8" s="19" t="n">
        <x:v>0</x:v>
      </x:c>
      <x:c r="K8" s="19" t="str">
        <x:v>Exclude</x:v>
      </x:c>
      <x:c r="L8" s="19" t="str">
        <x:v>任务太模糊且非 Cowork</x:v>
      </x:c>
      <x:c r="M8" s="19" t="str">
        <x:v>证明有国家标签也仍需任务门槛</x:v>
      </x:c>
    </x:row>
    <x:row r="9" ht="48" customHeight="1">
      <x:c r="A9" s="19" t="str">
        <x:v>Q-ARE-005</x:v>
      </x:c>
      <x:c r="B9" s="19" t="str">
        <x:v>Apple App Store</x:v>
      </x:c>
      <x:c r="C9" s="19" t="str">
        <x:v>Genspark</x:v>
      </x:c>
      <x:c r="D9" s="19" t="str">
        <x:v>en/ar</x:v>
      </x:c>
      <x:c r="E9" s="19" t="str">
        <x:v>apps.apple.com/ae Genspark see-all=reviews</x:v>
      </x:c>
      <x:c r="F9" s="19" t="str">
        <x:v>ARE storefront</x:v>
      </x:c>
      <x:c r="G9" s="19" t="str">
        <x:v>page current at capture</x:v>
      </x:c>
      <x:c r="H9" s="19" t="str">
        <x:v>1 storefront page</x:v>
      </x:c>
      <x:c r="I9" s="19" t="n">
        <x:v>8</x:v>
      </x:c>
      <x:c r="J9" s="19" t="n">
        <x:v>4</x:v>
      </x:c>
      <x:c r="K9" s="19" t="str">
        <x:v>Hypothesis yield</x:v>
      </x:c>
      <x:c r="L9" s="19" t="str">
        <x:v>storefront 不证明作者在 UAE</x:v>
      </x:c>
      <x:c r="M9" s="19" t="str">
        <x:v>价格/积分、阿语质量、停用和替代信号明显</x:v>
      </x:c>
    </x:row>
    <x:row r="10" ht="48" customHeight="1">
      <x:c r="A10" s="19" t="str">
        <x:v>Q-ARE-006</x:v>
      </x:c>
      <x:c r="B10" s="19" t="str">
        <x:v>Apple App Store</x:v>
      </x:c>
      <x:c r="C10" s="19" t="str">
        <x:v>Manus</x:v>
      </x:c>
      <x:c r="D10" s="19" t="str">
        <x:v>en</x:v>
      </x:c>
      <x:c r="E10" s="19" t="str">
        <x:v>apps.apple.com/ae Manus see-all=reviews</x:v>
      </x:c>
      <x:c r="F10" s="19" t="str">
        <x:v>ARE storefront</x:v>
      </x:c>
      <x:c r="G10" s="19" t="str">
        <x:v>page current at capture</x:v>
      </x:c>
      <x:c r="H10" s="19" t="str">
        <x:v>1 storefront page</x:v>
      </x:c>
      <x:c r="I10" s="19" t="n">
        <x:v>9</x:v>
      </x:c>
      <x:c r="J10" s="19" t="n">
        <x:v>2</x:v>
      </x:c>
      <x:c r="K10" s="19" t="str">
        <x:v>Hypothesis yield</x:v>
      </x:c>
      <x:c r="L10" s="19" t="str">
        <x:v>storefront 不证明作者在 UAE</x:v>
      </x:c>
      <x:c r="M10" s="19" t="str">
        <x:v>积分消耗、错误、扣费和客服字段丰富</x:v>
      </x:c>
    </x:row>
    <x:row r="11" ht="48" customHeight="1">
      <x:c r="A11" s="19" t="str">
        <x:v>Q-ARE-007</x:v>
      </x:c>
      <x:c r="B11" s="19" t="str">
        <x:v>Apple App Store</x:v>
      </x:c>
      <x:c r="C11" s="19" t="str">
        <x:v>ChatGPT</x:v>
      </x:c>
      <x:c r="D11" s="19" t="str">
        <x:v>en</x:v>
      </x:c>
      <x:c r="E11" s="19" t="str">
        <x:v>apps.apple.com/ae ChatGPT see-all=reviews</x:v>
      </x:c>
      <x:c r="F11" s="19" t="str">
        <x:v>ARE storefront</x:v>
      </x:c>
      <x:c r="G11" s="19" t="str">
        <x:v>page current at capture</x:v>
      </x:c>
      <x:c r="H11" s="19" t="str">
        <x:v>1 storefront page</x:v>
      </x:c>
      <x:c r="I11" s="19" t="n">
        <x:v>6</x:v>
      </x:c>
      <x:c r="J11" s="19" t="n">
        <x:v>0</x:v>
      </x:c>
      <x:c r="K11" s="19" t="str">
        <x:v>Geo counterexample</x:v>
      </x:c>
      <x:c r="L11" s="19" t="str">
        <x:v>正文明确提到 Afghanistan</x:v>
      </x:c>
      <x:c r="M11" s="19" t="str">
        <x:v>UAE storefront 只能给 Low geo confidence</x:v>
      </x:c>
    </x:row>
    <x:row r="12" ht="48" customHeight="1">
      <x:c r="A12" s="19" t="str">
        <x:v>Q-ARE-008</x:v>
      </x:c>
      <x:c r="B12" s="19" t="str">
        <x:v>Reddit</x:v>
      </x:c>
      <x:c r="C12" s="19" t="str">
        <x:v>Perplexity Comet</x:v>
      </x:c>
      <x:c r="D12" s="19" t="str">
        <x:v>en</x:v>
      </x:c>
      <x:c r="E12" s="19" t="str">
        <x:v>site:reddit.com/r/perplexity_ai "I live in Dubai" Comet</x:v>
      </x:c>
      <x:c r="F12" s="19" t="str">
        <x:v>正文自述 Dubai</x:v>
      </x:c>
      <x:c r="G12" s="19" t="str">
        <x:v>2025-09-01 to 2026-09-03</x:v>
      </x:c>
      <x:c r="H12" s="19" t="str">
        <x:v>1 thread</x:v>
      </x:c>
      <x:c r="I12" s="19" t="n">
        <x:v>1</x:v>
      </x:c>
      <x:c r="J12" s="19" t="n">
        <x:v>1</x:v>
      </x:c>
      <x:c r="K12" s="19" t="str">
        <x:v>High-value yield</x:v>
      </x:c>
      <x:c r="L12" s="19" t="str">
        <x:v>无</x:v>
      </x:c>
      <x:c r="M12" s="19" t="str">
        <x:v>工作链路、环境上下文、替代和留存都可编码</x:v>
      </x:c>
    </x:row>
    <x:row r="13" ht="48" customHeight="1">
      <x:c r="A13" s="19" t="str">
        <x:v>Q-ARE-009</x:v>
      </x:c>
      <x:c r="B13" s="19" t="str">
        <x:v>Reddit</x:v>
      </x:c>
      <x:c r="C13" s="19" t="str">
        <x:v>Perplexity / Claude</x:v>
      </x:c>
      <x:c r="D13" s="19" t="str">
        <x:v>en</x:v>
      </x:c>
      <x:c r="E13" s="19" t="str">
        <x:v>site:reddit.com/r/dubai Perplexity Claude discount</x:v>
      </x:c>
      <x:c r="F13" s="19" t="str">
        <x:v>r/dubai</x:v>
      </x:c>
      <x:c r="G13" s="19" t="str">
        <x:v>all time</x:v>
      </x:c>
      <x:c r="H13" s="19" t="str">
        <x:v>1 thread</x:v>
      </x:c>
      <x:c r="I13" s="19" t="n">
        <x:v>1</x:v>
      </x:c>
      <x:c r="J13" s="19" t="n">
        <x:v>0</x:v>
      </x:c>
      <x:c r="K13" s="19" t="str">
        <x:v>Route to demand / out of window</x:v>
      </x:c>
      <x:c r="L13" s="19" t="str">
        <x:v>子版块不是常住地；早于主窗口</x:v>
      </x:c>
      <x:c r="M13" s="19" t="str">
        <x:v>可作为价格需求，不进入本轮竞品反馈</x:v>
      </x:c>
    </x:row>
    <x:row r="14" ht="48" customHeight="1">
      <x:c r="A14" s="19" t="str">
        <x:v>Q-ARE-010</x:v>
      </x:c>
      <x:c r="B14" s="19" t="str">
        <x:v>Reddit</x:v>
      </x:c>
      <x:c r="C14" s="19" t="str">
        <x:v>General AI</x:v>
      </x:c>
      <x:c r="D14" s="19" t="str">
        <x:v>en</x:v>
      </x:c>
      <x:c r="E14" s="19" t="str">
        <x:v>site:reddit.com/r/UAE AI search visibility SME</x:v>
      </x:c>
      <x:c r="F14" s="19" t="str">
        <x:v>r/UAE + 正文 UAE SME</x:v>
      </x:c>
      <x:c r="G14" s="19" t="str">
        <x:v>2025-09-01 to 2026-09-03</x:v>
      </x:c>
      <x:c r="H14" s="19" t="str">
        <x:v>1 thread</x:v>
      </x:c>
      <x:c r="I14" s="19" t="n">
        <x:v>1</x:v>
      </x:c>
      <x:c r="J14" s="19" t="n">
        <x:v>0</x:v>
      </x:c>
      <x:c r="K14" s="19" t="str">
        <x:v>Route to 05 demand</x:v>
      </x:c>
      <x:c r="L14" s="19" t="str">
        <x:v>不是竞品使用反馈</x:v>
      </x:c>
      <x:c r="M14" s="19" t="str">
        <x:v>保留为公开用户需求信号入口</x:v>
      </x:c>
    </x:row>
    <x:row r="15" ht="48" customHeight="1">
      <x:c r="A15" s="19" t="str">
        <x:v>Q-ARE-011</x:v>
      </x:c>
      <x:c r="B15" s="19" t="str">
        <x:v>Search engine index</x:v>
      </x:c>
      <x:c r="C15" s="19" t="str">
        <x:v>Genspark / Manus</x:v>
      </x:c>
      <x:c r="D15" s="19" t="str">
        <x:v>ar</x:v>
      </x:c>
      <x:c r="E15" s="19" t="str">
        <x:v>الإمارات تجربة Genspark Manus مشاكل اشتراك رصيد</x:v>
      </x:c>
      <x:c r="F15" s="19" t="str">
        <x:v>الإمارات</x:v>
      </x:c>
      <x:c r="G15" s="19" t="str">
        <x:v>2025-09-01 to 2026-09-03</x:v>
      </x:c>
      <x:c r="H15" s="19" t="str">
        <x:v>first results page</x:v>
      </x:c>
      <x:c r="I15" s="19"/>
      <x:c r="J15" s="19" t="n">
        <x:v>0</x:v>
      </x:c>
      <x:c r="K15" s="19" t="str">
        <x:v>Low precision</x:v>
      </x:c>
      <x:c r="L15" s="19" t="str">
        <x:v>Saudi/Egypt/Iraq/global Arabic results</x:v>
      </x:c>
      <x:c r="M15" s="19" t="str">
        <x:v>阿语必须和国家证据二次交叉，不能直接归 UAE</x:v>
      </x:c>
    </x:row>
    <x:row r="16" ht="48" customHeight="1">
      <x:c r="A16" s="19" t="str">
        <x:v>Q-ARE-012</x:v>
      </x:c>
      <x:c r="B16" s="19" t="str">
        <x:v>YouTube</x:v>
      </x:c>
      <x:c r="C16" s="19" t="str">
        <x:v>Claude Cowork</x:v>
      </x:c>
      <x:c r="D16" s="19" t="str">
        <x:v>ar</x:v>
      </x:c>
      <x:c r="E16" s="19" t="str">
        <x:v>دبي Claude Cowork تجربة مراجعة</x:v>
      </x:c>
      <x:c r="F16" s="19" t="str">
        <x:v>دبي</x:v>
      </x:c>
      <x:c r="G16" s="19" t="str">
        <x:v>2025-09-01 to 2026-09-03</x:v>
      </x:c>
      <x:c r="H16" s="19" t="str">
        <x:v>search results</x:v>
      </x:c>
      <x:c r="I16" s="19" t="n">
        <x:v>1</x:v>
      </x:c>
      <x:c r="J16" s="19" t="n">
        <x:v>0</x:v>
      </x:c>
      <x:c r="K16" s="19" t="str">
        <x:v>Discovery only</x:v>
      </x:c>
      <x:c r="L16" s="19" t="str">
        <x:v>视频为泛阿语内容，无 UAE 用户证据</x:v>
      </x:c>
      <x:c r="M16" s="19" t="str">
        <x:v>作者/评论者国家弱；需 API key 后再测评论</x:v>
      </x:c>
    </x:row>
    <x:row r="17" ht="48" customHeight="1">
      <x:c r="A17" s="19" t="str">
        <x:v>Q-ARE-013</x:v>
      </x:c>
      <x:c r="B17" s="19" t="str">
        <x:v>Search engine index</x:v>
      </x:c>
      <x:c r="C17" s="19" t="str">
        <x:v>Genspark</x:v>
      </x:c>
      <x:c r="D17" s="19" t="str">
        <x:v>hi</x:v>
      </x:c>
      <x:c r="E17" s="19" t="str">
        <x:v>UAE Genspark review Hindi दुबई</x:v>
      </x:c>
      <x:c r="F17" s="19" t="str">
        <x:v>UAE / दुबई</x:v>
      </x:c>
      <x:c r="G17" s="19" t="str">
        <x:v>2025-09-01 to 2026-09-03</x:v>
      </x:c>
      <x:c r="H17" s="19" t="str">
        <x:v>first results page</x:v>
      </x:c>
      <x:c r="I17" s="19" t="n">
        <x:v>0</x:v>
      </x:c>
      <x:c r="J17" s="19" t="n">
        <x:v>0</x:v>
      </x:c>
      <x:c r="K17" s="19" t="str">
        <x:v>No yield</x:v>
      </x:c>
      <x:c r="L17" s="19" t="str">
        <x:v>无</x:v>
      </x:c>
      <x:c r="M17" s="19" t="str">
        <x:v>保留为探索语种，不设首轮配额</x:v>
      </x:c>
    </x:row>
    <x:row r="18" ht="48" customHeight="1">
      <x:c r="A18" s="19" t="str">
        <x:v>Q-ARE-014</x:v>
      </x:c>
      <x:c r="B18" s="19" t="str">
        <x:v>Search engine index</x:v>
      </x:c>
      <x:c r="C18" s="19" t="str">
        <x:v>Manus</x:v>
      </x:c>
      <x:c r="D18" s="19" t="str">
        <x:v>ur</x:v>
      </x:c>
      <x:c r="E18" s="19" t="str">
        <x:v>UAE Manus AI review Urdu دبئی</x:v>
      </x:c>
      <x:c r="F18" s="19" t="str">
        <x:v>UAE / دبئی</x:v>
      </x:c>
      <x:c r="G18" s="19" t="str">
        <x:v>2025-09-01 to 2026-09-03</x:v>
      </x:c>
      <x:c r="H18" s="19" t="str">
        <x:v>first results page</x:v>
      </x:c>
      <x:c r="I18" s="19" t="n">
        <x:v>0</x:v>
      </x:c>
      <x:c r="J18" s="19" t="n">
        <x:v>0</x:v>
      </x:c>
      <x:c r="K18" s="19" t="str">
        <x:v>No yield</x:v>
      </x:c>
      <x:c r="L18" s="19" t="str">
        <x:v>无</x:v>
      </x:c>
      <x:c r="M18" s="19" t="str">
        <x:v>保留为探索语种，不设首轮配额</x:v>
      </x:c>
    </x:row>
    <x:row r="19" ht="48" customHeight="1">
      <x:c r="A19" s="19" t="str">
        <x:v>Q-ARE-015</x:v>
      </x:c>
      <x:c r="B19" s="19" t="str">
        <x:v>Google Play</x:v>
      </x:c>
      <x:c r="C19" s="19" t="str">
        <x:v>Genspark</x:v>
      </x:c>
      <x:c r="D19" s="19" t="str">
        <x:v>ar</x:v>
      </x:c>
      <x:c r="E19" s="19" t="str">
        <x:v>play.google.com Genspark hl=ar reviews</x:v>
      </x:c>
      <x:c r="F19" s="19" t="str">
        <x:v>none</x:v>
      </x:c>
      <x:c r="G19" s="19" t="str">
        <x:v>page current at capture</x:v>
      </x:c>
      <x:c r="H19" s="19" t="str">
        <x:v>1 product page</x:v>
      </x:c>
      <x:c r="I19" s="19" t="n">
        <x:v>1</x:v>
      </x:c>
      <x:c r="J19" s="19" t="n">
        <x:v>0</x:v>
      </x:c>
      <x:c r="K19" s="19" t="str">
        <x:v>Global-Arabic only</x:v>
      </x:c>
      <x:c r="L19" s="19" t="str">
        <x:v>阿语界面/评论无 UAE 地理证据</x:v>
      </x:c>
      <x:c r="M19" s="19" t="str">
        <x:v>保留到 Global-Arabic 主题池，不进入 ARE</x:v>
      </x:c>
    </x:row>
    <x:row r="20" ht="48" customHeight="1">
      <x:c r="A20" s="19" t="str">
        <x:v>Q-ARE-016</x:v>
      </x:c>
      <x:c r="B20" s="19" t="str">
        <x:v>YouTube</x:v>
      </x:c>
      <x:c r="C20" s="19" t="str">
        <x:v>Multiple</x:v>
      </x:c>
      <x:c r="D20" s="19" t="str">
        <x:v>en/ar</x:v>
      </x:c>
      <x:c r="E20" s="19" t="str">
        <x:v>YouTube Data API search.list + commentThreads.list</x:v>
      </x:c>
      <x:c r="F20" s="19" t="str">
        <x:v>regionCode=AE (discovery only)</x:v>
      </x:c>
      <x:c r="G20" s="19" t="str">
        <x:v>planned</x:v>
      </x:c>
      <x:c r="H20" s="19" t="str">
        <x:v>not run</x:v>
      </x:c>
      <x:c r="I20" s="19"/>
      <x:c r="J20" s="19" t="n">
        <x:v>0</x:v>
      </x:c>
      <x:c r="K20" s="19" t="str">
        <x:v>Blocked by key</x:v>
      </x:c>
      <x:c r="L20" s="19" t="str">
        <x:v>regionCode 不等于作者国家</x:v>
      </x:c>
      <x:c r="M20" s="19" t="str">
        <x:v>需要 API key；先小样本测试评论命中率</x:v>
      </x:c>
    </x:row>
    <x:row r="21" ht="48" customHeight="1">
      <x:c r="A21" s="19" t="str">
        <x:v>Q-ARE-017</x:v>
      </x:c>
      <x:c r="B21" s="19" t="str">
        <x:v>Product Hunt</x:v>
      </x:c>
      <x:c r="C21" s="19" t="str">
        <x:v>Genspark / Manus</x:v>
      </x:c>
      <x:c r="D21" s="19" t="str">
        <x:v>en</x:v>
      </x:c>
      <x:c r="E21" s="19" t="str">
        <x:v>Genspark UAE Product Hunt comments</x:v>
      </x:c>
      <x:c r="F21" s="19" t="str">
        <x:v>UAE keyword</x:v>
      </x:c>
      <x:c r="G21" s="19" t="str">
        <x:v>all time</x:v>
      </x:c>
      <x:c r="H21" s="19" t="str">
        <x:v>search results</x:v>
      </x:c>
      <x:c r="I21" s="19" t="n">
        <x:v>0</x:v>
      </x:c>
      <x:c r="J21" s="19" t="n">
        <x:v>0</x:v>
      </x:c>
      <x:c r="K21" s="19" t="str">
        <x:v>No country yield</x:v>
      </x:c>
      <x:c r="L21" s="19" t="str">
        <x:v>早期采用者评论普遍无国家</x:v>
      </x:c>
      <x:c r="M21" s="19" t="str">
        <x:v>适合全球定位/竞品发现，不适合本轮国家归因</x:v>
      </x:c>
    </x:row>
    <x:row r="22" ht="48" customHeight="1">
      <x:c r="A22" s="19" t="str">
        <x:v>Q-ARE-018</x:v>
      </x:c>
      <x:c r="B22" s="19" t="str">
        <x:v>GitHub</x:v>
      </x:c>
      <x:c r="C22" s="19" t="str">
        <x:v>Genspark / Manus / Comet</x:v>
      </x:c>
      <x:c r="D22" s="19" t="str">
        <x:v>en</x:v>
      </x:c>
      <x:c r="E22" s="19" t="str">
        <x:v>Genspark Manus Comet UAE issue</x:v>
      </x:c>
      <x:c r="F22" s="19" t="str">
        <x:v>UAE keyword</x:v>
      </x:c>
      <x:c r="G22" s="19" t="str">
        <x:v>all time</x:v>
      </x:c>
      <x:c r="H22" s="19" t="str">
        <x:v>search results</x:v>
      </x:c>
      <x:c r="I22" s="19" t="n">
        <x:v>0</x:v>
      </x:c>
      <x:c r="J22" s="19" t="n">
        <x:v>0</x:v>
      </x:c>
      <x:c r="K22" s="19" t="str">
        <x:v>No target surface</x:v>
      </x:c>
      <x:c r="L22" s="19" t="str">
        <x:v>同名项目与非官方仓库</x:v>
      </x:c>
      <x:c r="M22" s="19" t="str">
        <x:v>闭源产品缺少稳定官方 issue 面</x:v>
      </x:c>
    </x:row>
    <x:row r="23" ht="48" customHeight="1">
      <x:c r="A23" s="19" t="str">
        <x:v>Q-ARE-019</x:v>
      </x:c>
      <x:c r="B23" s="19" t="str">
        <x:v>G2/Capterra</x:v>
      </x:c>
      <x:c r="C23" s="19" t="str">
        <x:v>Genspark / Manus</x:v>
      </x:c>
      <x:c r="D23" s="19" t="str">
        <x:v>en</x:v>
      </x:c>
      <x:c r="E23" s="19" t="str">
        <x:v>Genspark Manus UAE review G2 Capterra</x:v>
      </x:c>
      <x:c r="F23" s="19" t="str">
        <x:v>UAE keyword</x:v>
      </x:c>
      <x:c r="G23" s="19" t="str">
        <x:v>all time</x:v>
      </x:c>
      <x:c r="H23" s="19" t="str">
        <x:v>search results</x:v>
      </x:c>
      <x:c r="I23" s="19" t="n">
        <x:v>0</x:v>
      </x:c>
      <x:c r="J23" s="19" t="n">
        <x:v>0</x:v>
      </x:c>
      <x:c r="K23" s="19" t="str">
        <x:v>No stable yield</x:v>
      </x:c>
      <x:c r="L23" s="19" t="str">
        <x:v>产品覆盖不足/国家筛选不明显</x:v>
      </x:c>
      <x:c r="M23" s="19" t="str">
        <x:v>二轮再做授权和页面能力验证</x:v>
      </x:c>
    </x:row>
    <x:row r="24" ht="48" customHeight="1">
      <x:c r="A24" s="19" t="str">
        <x:v>Q-ARE-020</x:v>
      </x:c>
      <x:c r="B24" s="19" t="str">
        <x:v>Editorial/SEO</x:v>
      </x:c>
      <x:c r="C24" s="19" t="str">
        <x:v>Manus</x:v>
      </x:c>
      <x:c r="D24" s="19" t="str">
        <x:v>en</x:v>
      </x:c>
      <x:c r="E24" s="19" t="str">
        <x:v>Manus AI agent review UAE 2026</x:v>
      </x:c>
      <x:c r="F24" s="19" t="str">
        <x:v>UAE in title</x:v>
      </x:c>
      <x:c r="G24" s="19" t="str">
        <x:v>2026</x:v>
      </x:c>
      <x:c r="H24" s="19" t="str">
        <x:v>1 article</x:v>
      </x:c>
      <x:c r="I24" s="19" t="n">
        <x:v>1</x:v>
      </x:c>
      <x:c r="J24" s="19" t="n">
        <x:v>0</x:v>
      </x:c>
      <x:c r="K24" s="19" t="str">
        <x:v>Exclude as feedback</x:v>
      </x:c>
      <x:c r="L24" s="19" t="str">
        <x:v>编辑/SEO 内容不是用户反馈</x:v>
      </x:c>
      <x:c r="M24" s="19" t="str">
        <x:v>只用于发现本地词和待验证假设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689758fa12c94c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18" hidden="0" customWidth="1"/>
    <x:col min="5" max="5" width="22" hidden="0" customWidth="1"/>
    <x:col min="6" max="6" width="46" hidden="0" customWidth="1"/>
    <x:col min="7" max="7" width="42" hidden="0" customWidth="1"/>
    <x:col min="8" max="8" width="20" hidden="0" customWidth="1"/>
    <x:col min="9" max="9" width="13" hidden="0" customWidth="1"/>
    <x:col min="10" max="10" width="20" hidden="0" customWidth="1"/>
    <x:col min="11" max="11" width="14" hidden="0" customWidth="1"/>
    <x:col min="12" max="12" width="13" hidden="0" customWidth="1"/>
    <x:col min="13" max="13" width="12" hidden="0" customWidth="1"/>
    <x:col min="14" max="14" width="13" hidden="0" customWidth="1"/>
    <x:col min="15" max="15" width="24" hidden="0" customWidth="1"/>
    <x:col min="16" max="16" width="13" hidden="0" customWidth="1"/>
    <x:col min="17" max="17" width="38" hidden="0" customWidth="1"/>
    <x:col min="18" max="18" width="14" hidden="0" customWidth="1"/>
    <x:col min="19" max="19" width="9" hidden="0" customWidth="1"/>
    <x:col min="20" max="20" width="28" hidden="0" customWidth="1"/>
    <x:col min="21" max="21" width="35" hidden="0" customWidth="1"/>
    <x:col min="22" max="22" width="38" hidden="0" customWidth="1"/>
    <x:col min="23" max="23" width="38" hidden="0" customWidth="1"/>
    <x:col min="24" max="24" width="34" hidden="0" customWidth="1"/>
    <x:col min="25" max="25" width="34" hidden="0" customWidth="1"/>
    <x:col min="26" max="26" width="12" hidden="0" customWidth="1"/>
    <x:col min="27" max="27" width="30" hidden="0" customWidth="1"/>
    <x:col min="28" max="28" width="42" hidden="0" customWidth="1"/>
    <x:col min="29" max="29" width="42" hidden="0" customWidth="1"/>
    <x:col min="30" max="30" width="42" hidden="0" customWidth="1"/>
    <x:col min="31" max="31" width="23" hidden="0" customWidth="1"/>
    <x:col min="32" max="32" width="32" hidden="0" customWidth="1"/>
    <x:col min="33" max="33" width="16" hidden="0" customWidth="1"/>
    <x:col min="34" max="34" width="38" hidden="0" customWidth="1"/>
  </x:cols>
  <x:sheetData>
    <x:row r="1" ht="34" customHeight="1">
      <x:c r="A1" s="3" t="str">
        <x:v>Raw Feedback｜20 条发现记录（含排除与分流）</x:v>
      </x:c>
      <x:c r="B1" s="3" t="str">
        <x:v>Raw Feedback｜20 条发现记录（含排除与分流）</x:v>
      </x:c>
      <x:c r="C1" s="3" t="str">
        <x:v>Raw Feedback｜20 条发现记录（含排除与分流）</x:v>
      </x:c>
      <x:c r="D1" s="3" t="str">
        <x:v>Raw Feedback｜20 条发现记录（含排除与分流）</x:v>
      </x:c>
      <x:c r="E1" s="3" t="str">
        <x:v>Raw Feedback｜20 条发现记录（含排除与分流）</x:v>
      </x:c>
      <x:c r="F1" s="3" t="str">
        <x:v>Raw Feedback｜20 条发现记录（含排除与分流）</x:v>
      </x:c>
      <x:c r="G1" s="3" t="str">
        <x:v>Raw Feedback｜20 条发现记录（含排除与分流）</x:v>
      </x:c>
      <x:c r="H1" s="3" t="str">
        <x:v>Raw Feedback｜20 条发现记录（含排除与分流）</x:v>
      </x:c>
      <x:c r="I1" s="3" t="str">
        <x:v>Raw Feedback｜20 条发现记录（含排除与分流）</x:v>
      </x:c>
      <x:c r="J1" s="3" t="str">
        <x:v>Raw Feedback｜20 条发现记录（含排除与分流）</x:v>
      </x:c>
      <x:c r="K1" s="3" t="str">
        <x:v>Raw Feedback｜20 条发现记录（含排除与分流）</x:v>
      </x:c>
      <x:c r="L1" s="3" t="str">
        <x:v>Raw Feedback｜20 条发现记录（含排除与分流）</x:v>
      </x:c>
      <x:c r="M1" s="3" t="str">
        <x:v>Raw Feedback｜20 条发现记录（含排除与分流）</x:v>
      </x:c>
      <x:c r="N1" s="3" t="str">
        <x:v>Raw Feedback｜20 条发现记录（含排除与分流）</x:v>
      </x:c>
      <x:c r="O1" s="3" t="str">
        <x:v>Raw Feedback｜20 条发现记录（含排除与分流）</x:v>
      </x:c>
      <x:c r="P1" s="3" t="str">
        <x:v>Raw Feedback｜20 条发现记录（含排除与分流）</x:v>
      </x:c>
      <x:c r="Q1" s="3" t="str">
        <x:v>Raw Feedback｜20 条发现记录（含排除与分流）</x:v>
      </x:c>
      <x:c r="R1" s="3" t="str">
        <x:v>Raw Feedback｜20 条发现记录（含排除与分流）</x:v>
      </x:c>
      <x:c r="S1" s="3" t="str">
        <x:v>Raw Feedback｜20 条发现记录（含排除与分流）</x:v>
      </x:c>
      <x:c r="T1" s="3" t="str">
        <x:v>Raw Feedback｜20 条发现记录（含排除与分流）</x:v>
      </x:c>
      <x:c r="U1" s="3" t="str">
        <x:v>Raw Feedback｜20 条发现记录（含排除与分流）</x:v>
      </x:c>
      <x:c r="V1" s="3" t="str">
        <x:v>Raw Feedback｜20 条发现记录（含排除与分流）</x:v>
      </x:c>
      <x:c r="W1" s="3" t="str">
        <x:v>Raw Feedback｜20 条发现记录（含排除与分流）</x:v>
      </x:c>
      <x:c r="X1" s="3" t="str">
        <x:v>Raw Feedback｜20 条发现记录（含排除与分流）</x:v>
      </x:c>
      <x:c r="Y1" s="3" t="str">
        <x:v>Raw Feedback｜20 条发现记录（含排除与分流）</x:v>
      </x:c>
      <x:c r="Z1" s="3" t="str">
        <x:v>Raw Feedback｜20 条发现记录（含排除与分流）</x:v>
      </x:c>
      <x:c r="AA1" s="3" t="str">
        <x:v>Raw Feedback｜20 条发现记录（含排除与分流）</x:v>
      </x:c>
      <x:c r="AB1" s="3" t="str">
        <x:v>Raw Feedback｜20 条发现记录（含排除与分流）</x:v>
      </x:c>
      <x:c r="AC1" s="3" t="str">
        <x:v>Raw Feedback｜20 条发现记录（含排除与分流）</x:v>
      </x:c>
      <x:c r="AD1" s="3" t="str">
        <x:v>Raw Feedback｜20 条发现记录（含排除与分流）</x:v>
      </x:c>
      <x:c r="AE1" s="3" t="str">
        <x:v>Raw Feedback｜20 条发现记录（含排除与分流）</x:v>
      </x:c>
      <x:c r="AF1" s="3" t="str">
        <x:v>Raw Feedback｜20 条发现记录（含排除与分流）</x:v>
      </x:c>
      <x:c r="AG1" s="3" t="str">
        <x:v>Raw Feedback｜20 条发现记录（含排除与分流）</x:v>
      </x:c>
      <x:c r="AH1" s="3" t="str">
        <x:v>Raw Feedback｜20 条发现记录（含排除与分流）</x:v>
      </x:c>
    </x:row>
    <x:row r="2" ht="30" customHeight="1">
      <x:c r="A2" s="24" t="str">
        <x:v>original_text 保存可核验的最短原文证据片段，original_text_translation_cn 为中文翻译；空白表示未可靠取得，不用研究员转述冒充原话。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  <x:c r="AA2" s="24"/>
      <x:c r="AB2" s="24"/>
      <x:c r="AC2" s="24"/>
      <x:c r="AD2" s="24"/>
      <x:c r="AE2" s="24"/>
      <x:c r="AF2" s="24"/>
      <x:c r="AG2" s="24"/>
      <x:c r="AH2" s="24"/>
    </x:row>
    <x:row r="4" ht="32" customHeight="1">
      <x:c r="A4" s="15" t="str">
        <x:v>feedback_id</x:v>
      </x:c>
      <x:c r="B4" s="16" t="str">
        <x:v>product</x:v>
      </x:c>
      <x:c r="C4" s="16" t="str">
        <x:v>product_scope</x:v>
      </x:c>
      <x:c r="D4" s="16" t="str">
        <x:v>source_channel</x:v>
      </x:c>
      <x:c r="E4" s="16" t="str">
        <x:v>source_name</x:v>
      </x:c>
      <x:c r="F4" s="16" t="str">
        <x:v>source_url</x:v>
      </x:c>
      <x:c r="G4" s="16" t="str">
        <x:v>source_item_hint</x:v>
      </x:c>
      <x:c r="H4" s="16" t="str">
        <x:v>author_alias</x:v>
      </x:c>
      <x:c r="I4" s="16" t="str">
        <x:v>published_at</x:v>
      </x:c>
      <x:c r="J4" s="16" t="str">
        <x:v>published_at_raw</x:v>
      </x:c>
      <x:c r="K4" s="16" t="str">
        <x:v>date_confidence</x:v>
      </x:c>
      <x:c r="L4" s="16" t="str">
        <x:v>captured_at</x:v>
      </x:c>
      <x:c r="M4" s="16" t="str">
        <x:v>query_language</x:v>
      </x:c>
      <x:c r="N4" s="16" t="str">
        <x:v>content_language</x:v>
      </x:c>
      <x:c r="O4" s="16" t="str">
        <x:v>geo_claim</x:v>
      </x:c>
      <x:c r="P4" s="16" t="str">
        <x:v>country_iso3_candidate</x:v>
      </x:c>
      <x:c r="Q4" s="16" t="str">
        <x:v>geo_evidence</x:v>
      </x:c>
      <x:c r="R4" s="16" t="str">
        <x:v>country_confidence</x:v>
      </x:c>
      <x:c r="S4" s="16" t="str">
        <x:v>rating</x:v>
      </x:c>
      <x:c r="T4" s="16" t="str">
        <x:v>author_context</x:v>
      </x:c>
      <x:c r="U4" s="16" t="str">
        <x:v>task_summary</x:v>
      </x:c>
      <x:c r="V4" s="16" t="str">
        <x:v>outcome_summary</x:v>
      </x:c>
      <x:c r="W4" s="16" t="str">
        <x:v>friction_summary</x:v>
      </x:c>
      <x:c r="X4" s="16" t="str">
        <x:v>pricing_signal</x:v>
      </x:c>
      <x:c r="Y4" s="16" t="str">
        <x:v>switching_signal</x:v>
      </x:c>
      <x:c r="Z4" s="16" t="str">
        <x:v>sentiment</x:v>
      </x:c>
      <x:c r="AA4" s="16" t="str">
        <x:v>capture_mode</x:v>
      </x:c>
      <x:c r="AB4" s="16" t="str">
        <x:v>original_text</x:v>
      </x:c>
      <x:c r="AC4" s="16" t="str">
        <x:v>original_text_translation_cn</x:v>
      </x:c>
      <x:c r="AD4" s="16" t="str">
        <x:v>evidence_excerpt</x:v>
      </x:c>
      <x:c r="AE4" s="16" t="str">
        <x:v>inclusion_status</x:v>
      </x:c>
      <x:c r="AF4" s="16" t="str">
        <x:v>exclusion_reason</x:v>
      </x:c>
      <x:c r="AG4" s="16" t="str">
        <x:v>duplicate_group</x:v>
      </x:c>
      <x:c r="AH4" s="17" t="str">
        <x:v>researcher_note</x:v>
      </x:c>
    </x:row>
    <x:row r="5" ht="82" customHeight="1">
      <x:c r="A5" s="19" t="str">
        <x:v>FB-ARE-20260602-000001</x:v>
      </x:c>
      <x:c r="B5" s="19" t="str">
        <x:v>Manus</x:v>
      </x:c>
      <x:c r="C5" s="19" t="str">
        <x:v>Direct agent/workspace</x:v>
      </x:c>
      <x:c r="D5" s="19" t="str">
        <x:v>Trustpilot</x:v>
      </x:c>
      <x:c r="E5" s="19" t="str">
        <x:v>Trustpilot Manus</x:v>
      </x:c>
      <x:c r="F5" s="19" t="str">
        <x:v>https://es.trustpilot.com/review/manus.im</x:v>
      </x:c>
      <x:c r="G5" s="19" t="str">
        <x:v>David Erreyes · AE · 2 Jun 2026</x:v>
      </x:c>
      <x:c r="H5" s="19" t="str">
        <x:v>David Erreyes</x:v>
      </x:c>
      <x:c r="I5" s="19" t="str">
        <x:v>2026-06-02</x:v>
      </x:c>
      <x:c r="J5" s="19" t="str">
        <x:v>2 Jun 2026</x:v>
      </x:c>
      <x:c r="K5" s="19" t="str">
        <x:v>Exact</x:v>
      </x:c>
      <x:c r="L5" s="19" t="str">
        <x:v>2026-09-03</x:v>
      </x:c>
      <x:c r="M5" s="19" t="str">
        <x:v>en/es</x:v>
      </x:c>
      <x:c r="N5" s="19" t="str">
        <x:v>es</x:v>
      </x:c>
      <x:c r="O5" s="19" t="str">
        <x:v>United Arab Emirates</x:v>
      </x:c>
      <x:c r="P5" s="19" t="str">
        <x:v>ARE</x:v>
      </x:c>
      <x:c r="Q5" s="19" t="str">
        <x:v>Trustpilot profile displays AE</x:v>
      </x:c>
      <x:c r="R5" s="19" t="str">
        <x:v>High</x:v>
      </x:c>
      <x:c r="S5" s="19" t="n">
        <x:v>1</x:v>
      </x:c>
      <x:c r="T5" s="19" t="str">
        <x:v>正在用 Manus 构建应用；已投入时间和金钱</x:v>
      </x:c>
      <x:c r="U5" s="19" t="str">
        <x:v>持续构建一个已较成熟的应用</x:v>
      </x:c>
      <x:c r="V5" s="19" t="str">
        <x:v>产品能力有价值，但退款积分未到账并形成迁移锁定</x:v>
      </x:c>
      <x:c r="W5" s="19" t="str">
        <x:v>多次积分退款不到账；继续使用需升级更贵计划</x:v>
      </x:c>
      <x:c r="X5" s="19" t="str">
        <x:v>已花费超过 US$200 credits；计划升级价格上升</x:v>
      </x:c>
      <x:c r="Y5" s="19" t="str">
        <x:v>不愿从其他工具重做，因会损失更多时间和金钱</x:v>
      </x:c>
      <x:c r="Z5" s="19" t="str">
        <x:v>Negative</x:v>
      </x:c>
      <x:c r="AA5" s="19" t="str">
        <x:v>Manual public-page review + paraphrase</x:v>
      </x:c>
      <x:c r="AB5" s="19" t="str">
        <x:v>Llevo gastando más de 200 dólares en créditos</x:v>
      </x:c>
      <x:c r="AC5" s="19" t="str">
        <x:v>我已经在积分上花了超过 200 美元。</x:v>
      </x:c>
      <x:c r="AD5" s="19" t="str">
        <x:v>[转述] 应用已做得较深，但积分与退款问题造成锁定</x:v>
      </x:c>
      <x:c r="AE5" s="19" t="str">
        <x:v>Included-Core</x:v>
      </x:c>
      <x:c r="AF5" s="19" t="str"/>
      <x:c r="AG5" s="19" t="str"/>
      <x:c r="AH5" s="19" t="str">
        <x:v>国家来自平台资料标识，未独立验证身份</x:v>
      </x:c>
    </x:row>
    <x:row r="6" ht="82" customHeight="1">
      <x:c r="A6" s="19" t="str">
        <x:v>FB-ARE-20260815-000002</x:v>
      </x:c>
      <x:c r="B6" s="19" t="str">
        <x:v>Genspark</x:v>
      </x:c>
      <x:c r="C6" s="19" t="str">
        <x:v>Direct agent/workspace</x:v>
      </x:c>
      <x:c r="D6" s="19" t="str">
        <x:v>Trustpilot</x:v>
      </x:c>
      <x:c r="E6" s="19" t="str">
        <x:v>Trustpilot Genspark</x:v>
      </x:c>
      <x:c r="F6" s="19" t="str">
        <x:v>https://ca.trustpilot.com/review/genspark.ai?page=3</x:v>
      </x:c>
      <x:c r="G6" s="19" t="str">
        <x:v>Anish Velupillai · AE · 15 Aug 2026</x:v>
      </x:c>
      <x:c r="H6" s="19" t="str">
        <x:v>Anish Velupillai</x:v>
      </x:c>
      <x:c r="I6" s="19" t="str">
        <x:v>2026-08-15</x:v>
      </x:c>
      <x:c r="J6" s="19" t="str">
        <x:v>15 Aug 2026</x:v>
      </x:c>
      <x:c r="K6" s="19" t="str">
        <x:v>Exact</x:v>
      </x:c>
      <x:c r="L6" s="19" t="str">
        <x:v>2026-09-03</x:v>
      </x:c>
      <x:c r="M6" s="19" t="str">
        <x:v>en</x:v>
      </x:c>
      <x:c r="N6" s="19" t="str">
        <x:v>en</x:v>
      </x:c>
      <x:c r="O6" s="19" t="str">
        <x:v>United Arab Emirates</x:v>
      </x:c>
      <x:c r="P6" s="19" t="str">
        <x:v>ARE</x:v>
      </x:c>
      <x:c r="Q6" s="19" t="str">
        <x:v>Trustpilot profile displays AE</x:v>
      </x:c>
      <x:c r="R6" s="19" t="str">
        <x:v>High</x:v>
      </x:c>
      <x:c r="S6" s="19" t="n">
        <x:v>5</x:v>
      </x:c>
      <x:c r="T6" s="19" t="str">
        <x:v>需要向高层交付演示材料的知识工作者</x:v>
      </x:c>
      <x:c r="U6" s="19" t="str">
        <x:v>短时间内准备 top-management presentations</x:v>
      </x:c>
      <x:c r="V6" s="19" t="str">
        <x:v>模板、洞察和内容修改支持让演示制作更容易、压力更低</x:v>
      </x:c>
      <x:c r="W6" s="19" t="str">
        <x:v>未提及明确失败</x:v>
      </x:c>
      <x:c r="X6" s="19" t="str"/>
      <x:c r="Y6" s="19" t="str">
        <x:v>正向持续使用信号</x:v>
      </x:c>
      <x:c r="Z6" s="19" t="str">
        <x:v>Positive</x:v>
      </x:c>
      <x:c r="AA6" s="19" t="str">
        <x:v>Manual public-page review + paraphrase</x:v>
      </x:c>
      <x:c r="AB6" s="19" t="str">
        <x:v>prepare presentations for top management on a very short time frame</x:v>
      </x:c>
      <x:c r="AC6" s="19" t="str">
        <x:v>在很短时间内为高层准备演示材料。</x:v>
      </x:c>
      <x:c r="AD6" s="19" t="str">
        <x:v>[转述] Super Agent 帮助在短时限内完成高层演示</x:v>
      </x:c>
      <x:c r="AE6" s="19" t="str">
        <x:v>Included-Core</x:v>
      </x:c>
      <x:c r="AF6" s="19" t="str"/>
      <x:c r="AG6" s="19" t="str"/>
      <x:c r="AH6" s="19" t="str">
        <x:v>任务和结果明确；角色仍为推断性标签</x:v>
      </x:c>
    </x:row>
    <x:row r="7" ht="82" customHeight="1">
      <x:c r="A7" s="19" t="str">
        <x:v>FB-ARE-20260707-000003</x:v>
      </x:c>
      <x:c r="B7" s="19" t="str">
        <x:v>Genspark</x:v>
      </x:c>
      <x:c r="C7" s="19" t="str">
        <x:v>Direct agent/workspace</x:v>
      </x:c>
      <x:c r="D7" s="19" t="str">
        <x:v>Trustpilot</x:v>
      </x:c>
      <x:c r="E7" s="19" t="str">
        <x:v>Trustpilot Genspark</x:v>
      </x:c>
      <x:c r="F7" s="19" t="str">
        <x:v>https://uk.trustpilot.com/review/genspark.ai?page=7</x:v>
      </x:c>
      <x:c r="G7" s="19" t="str">
        <x:v>nasima ahmed · AE · 7 Jul 2026</x:v>
      </x:c>
      <x:c r="H7" s="19" t="str">
        <x:v>nasima ahmed</x:v>
      </x:c>
      <x:c r="I7" s="19" t="str">
        <x:v>2026-07-07</x:v>
      </x:c>
      <x:c r="J7" s="19" t="str">
        <x:v>7 Jul 2026</x:v>
      </x:c>
      <x:c r="K7" s="19" t="str">
        <x:v>Exact</x:v>
      </x:c>
      <x:c r="L7" s="19" t="str">
        <x:v>2026-09-03</x:v>
      </x:c>
      <x:c r="M7" s="19" t="str">
        <x:v>en</x:v>
      </x:c>
      <x:c r="N7" s="19" t="str">
        <x:v>en</x:v>
      </x:c>
      <x:c r="O7" s="19" t="str">
        <x:v>United Arab Emirates</x:v>
      </x:c>
      <x:c r="P7" s="19" t="str">
        <x:v>ARE</x:v>
      </x:c>
      <x:c r="Q7" s="19" t="str">
        <x:v>Trustpilot profile displays AE</x:v>
      </x:c>
      <x:c r="R7" s="19" t="str">
        <x:v>High</x:v>
      </x:c>
      <x:c r="S7" s="19" t="n">
        <x:v>5</x:v>
      </x:c>
      <x:c r="T7" s="19" t="str">
        <x:v>startup founder / solo entrepreneur</x:v>
      </x:c>
      <x:c r="U7" s="19" t="str">
        <x:v>制作演示、电子表格、CRM dashboard 与内容，支持日常经营</x:v>
      </x:c>
      <x:c r="V7" s="19" t="str">
        <x:v>多个工作流集中到同一 workspace，并成为日常工具</x:v>
      </x:c>
      <x:c r="W7" s="19" t="str">
        <x:v>未提及明确失败</x:v>
      </x:c>
      <x:c r="X7" s="19" t="str">
        <x:v>付费订阅在用</x:v>
      </x:c>
      <x:c r="Y7" s="19" t="str">
        <x:v>取消 Higgsfield，因为 Genspark 覆盖创意工作</x:v>
      </x:c>
      <x:c r="Z7" s="19" t="str">
        <x:v>Positive</x:v>
      </x:c>
      <x:c r="AA7" s="19" t="str">
        <x:v>Manual public-page review + paraphrase</x:v>
      </x:c>
      <x:c r="AB7" s="19" t="str">
        <x:v>building presentations, creating spreadsheets, managing CRM dashboards</x:v>
      </x:c>
      <x:c r="AC7" s="19" t="str">
        <x:v>制作演示、创建表格并管理 CRM 仪表盘。</x:v>
      </x:c>
      <x:c r="AD7" s="19" t="str">
        <x:v>[转述] 创始人用它统一演示、表格、CRM 与内容工作</x:v>
      </x:c>
      <x:c r="AE7" s="19" t="str">
        <x:v>Included-Core</x:v>
      </x:c>
      <x:c r="AF7" s="19" t="str"/>
      <x:c r="AG7" s="19" t="str"/>
      <x:c r="AH7" s="19" t="str">
        <x:v>高信息密度正向留存样本</x:v>
      </x:c>
    </x:row>
    <x:row r="8" ht="82" customHeight="1">
      <x:c r="A8" s="19" t="str">
        <x:v>FB-ARE-20260419-000004</x:v>
      </x:c>
      <x:c r="B8" s="19" t="str">
        <x:v>Genspark</x:v>
      </x:c>
      <x:c r="C8" s="19" t="str">
        <x:v>Direct agent/workspace</x:v>
      </x:c>
      <x:c r="D8" s="19" t="str">
        <x:v>Trustpilot</x:v>
      </x:c>
      <x:c r="E8" s="19" t="str">
        <x:v>Trustpilot Genspark</x:v>
      </x:c>
      <x:c r="F8" s="19" t="str">
        <x:v>https://uk.trustpilot.com/review/genspark.ai?page=9</x:v>
      </x:c>
      <x:c r="G8" s="19" t="str">
        <x:v>Simon Balol · AE · 19 Apr 2026</x:v>
      </x:c>
      <x:c r="H8" s="19" t="str">
        <x:v>Simon Balol</x:v>
      </x:c>
      <x:c r="I8" s="19" t="str">
        <x:v>2026-04-19</x:v>
      </x:c>
      <x:c r="J8" s="19" t="str">
        <x:v>19 Apr 2026</x:v>
      </x:c>
      <x:c r="K8" s="19" t="str">
        <x:v>Exact</x:v>
      </x:c>
      <x:c r="L8" s="19" t="str">
        <x:v>2026-09-03</x:v>
      </x:c>
      <x:c r="M8" s="19" t="str">
        <x:v>en</x:v>
      </x:c>
      <x:c r="N8" s="19" t="str">
        <x:v>en</x:v>
      </x:c>
      <x:c r="O8" s="19" t="str">
        <x:v>United Arab Emirates</x:v>
      </x:c>
      <x:c r="P8" s="19" t="str">
        <x:v>ARE</x:v>
      </x:c>
      <x:c r="Q8" s="19" t="str">
        <x:v>Trustpilot profile displays AE</x:v>
      </x:c>
      <x:c r="R8" s="19" t="str">
        <x:v>High</x:v>
      </x:c>
      <x:c r="S8" s="19" t="n">
        <x:v>1</x:v>
      </x:c>
      <x:c r="T8" s="19" t="str">
        <x:v>设计/生产工作用户</x:v>
      </x:c>
      <x:c r="U8" s="19" t="str">
        <x:v>生成包含设计文件的 ZIP 下载，并输出透明背景 logo</x:v>
      </x:c>
      <x:c r="V8" s="19" t="str">
        <x:v>ZIP 多次失败且无法生成链接；logo 背景不透明</x:v>
      </x:c>
      <x:c r="W8" s="19" t="str">
        <x:v>反复尝试仍失败，同时持续消耗 credits</x:v>
      </x:c>
      <x:c r="X8" s="19" t="str">
        <x:v>失败尝试仍扣 credits，造成时间和金钱损失</x:v>
      </x:c>
      <x:c r="Y8" s="19" t="str">
        <x:v>不推荐用于严肃设计/生产工作</x:v>
      </x:c>
      <x:c r="Z8" s="19" t="str">
        <x:v>Negative</x:v>
      </x:c>
      <x:c r="AA8" s="19" t="str">
        <x:v>Manual public-page review + paraphrase</x:v>
      </x:c>
      <x:c r="AB8" s="19" t="str">
        <x:v>generate a simple ZIP file containing my designs</x:v>
      </x:c>
      <x:c r="AC8" s="19" t="str">
        <x:v>生成一个包含我的设计文件的简单 ZIP。</x:v>
      </x:c>
      <x:c r="AD8" s="19" t="str">
        <x:v>[转述] ZIP 与透明 logo 任务失败，过程中持续扣积分</x:v>
      </x:c>
      <x:c r="AE8" s="19" t="str">
        <x:v>Included-Core</x:v>
      </x:c>
      <x:c r="AF8" s="19" t="str"/>
      <x:c r="AG8" s="19" t="str"/>
      <x:c r="AH8" s="19" t="str">
        <x:v>可明确编码失败阶段、结果和成本</x:v>
      </x:c>
    </x:row>
    <x:row r="9" ht="82" customHeight="1">
      <x:c r="A9" s="19" t="str">
        <x:v>FB-ARE-20260804-000005</x:v>
      </x:c>
      <x:c r="B9" s="19" t="str">
        <x:v>Genspark</x:v>
      </x:c>
      <x:c r="C9" s="19" t="str">
        <x:v>Support / commercial system</x:v>
      </x:c>
      <x:c r="D9" s="19" t="str">
        <x:v>Trustpilot</x:v>
      </x:c>
      <x:c r="E9" s="19" t="str">
        <x:v>Trustpilot Genspark</x:v>
      </x:c>
      <x:c r="F9" s="19" t="str">
        <x:v>https://www.trustpilot.com/review/genspark.ai?page=4</x:v>
      </x:c>
      <x:c r="G9" s="19" t="str">
        <x:v>Sebastian Fuchs · AE · 4 Aug 2026</x:v>
      </x:c>
      <x:c r="H9" s="19" t="str">
        <x:v>Sebastian Fuchs</x:v>
      </x:c>
      <x:c r="I9" s="19" t="str">
        <x:v>2026-08-04</x:v>
      </x:c>
      <x:c r="J9" s="19" t="str">
        <x:v>4 Aug 2026</x:v>
      </x:c>
      <x:c r="K9" s="19" t="str">
        <x:v>Exact</x:v>
      </x:c>
      <x:c r="L9" s="19" t="str">
        <x:v>2026-09-03</x:v>
      </x:c>
      <x:c r="M9" s="19" t="str">
        <x:v>en</x:v>
      </x:c>
      <x:c r="N9" s="19" t="str">
        <x:v>en</x:v>
      </x:c>
      <x:c r="O9" s="19" t="str">
        <x:v>United Arab Emirates</x:v>
      </x:c>
      <x:c r="P9" s="19" t="str">
        <x:v>ARE</x:v>
      </x:c>
      <x:c r="Q9" s="19" t="str">
        <x:v>Trustpilot profile displays AE</x:v>
      </x:c>
      <x:c r="R9" s="19" t="str">
        <x:v>High</x:v>
      </x:c>
      <x:c r="S9" s="19" t="n">
        <x:v>4</x:v>
      </x:c>
      <x:c r="T9" s="19" t="str">
        <x:v>未说明</x:v>
      </x:c>
      <x:c r="U9" s="19" t="str">
        <x:v>处理 credits 争议/投诉</x:v>
      </x:c>
      <x:c r="V9" s="19" t="str">
        <x:v>客服调查并适当退款；整体认为平台灵活</x:v>
      </x:c>
      <x:c r="W9" s="19" t="str">
        <x:v>曾发生 credits 争议</x:v>
      </x:c>
      <x:c r="X9" s="19" t="str">
        <x:v>credits 争议获得退款</x:v>
      </x:c>
      <x:c r="Y9" s="19" t="str">
        <x:v>正向继续使用</x:v>
      </x:c>
      <x:c r="Z9" s="19" t="str">
        <x:v>Positive</x:v>
      </x:c>
      <x:c r="AA9" s="19" t="str">
        <x:v>Manual public-page review + paraphrase</x:v>
      </x:c>
      <x:c r="AB9" s="19" t="str">
        <x:v>investigate and refund appropriately</x:v>
      </x:c>
      <x:c r="AC9" s="19" t="str">
        <x:v>进行调查并适当退款。</x:v>
      </x:c>
      <x:c r="AD9" s="19" t="str">
        <x:v>[转述] credits 争议得到调查与退款</x:v>
      </x:c>
      <x:c r="AE9" s="19" t="str">
        <x:v>Included-Adjacent</x:v>
      </x:c>
      <x:c r="AF9" s="19" t="str"/>
      <x:c r="AG9" s="19" t="str"/>
      <x:c r="AH9" s="19" t="str">
        <x:v>能评价售后但缺少具体 Cowork 工作任务</x:v>
      </x:c>
    </x:row>
    <x:row r="10" ht="82" customHeight="1">
      <x:c r="A10" s="19" t="str">
        <x:v>FB-ARE-20260722-000006</x:v>
      </x:c>
      <x:c r="B10" s="19" t="str">
        <x:v>Perplexity</x:v>
      </x:c>
      <x:c r="C10" s="19" t="str">
        <x:v>Support / commercial system</x:v>
      </x:c>
      <x:c r="D10" s="19" t="str">
        <x:v>Trustpilot</x:v>
      </x:c>
      <x:c r="E10" s="19" t="str">
        <x:v>Trustpilot Perplexity</x:v>
      </x:c>
      <x:c r="F10" s="19" t="str">
        <x:v>https://www.trustpilot.com/review/www.perplexity.ai?page=3</x:v>
      </x:c>
      <x:c r="G10" s="19" t="str">
        <x:v>Muhammad Waqas · AE · 22 Jul 2026</x:v>
      </x:c>
      <x:c r="H10" s="19" t="str">
        <x:v>Muhammad Waqas</x:v>
      </x:c>
      <x:c r="I10" s="19" t="str">
        <x:v>2026-07-22</x:v>
      </x:c>
      <x:c r="J10" s="19" t="str">
        <x:v>22 Jul 2026</x:v>
      </x:c>
      <x:c r="K10" s="19" t="str">
        <x:v>Exact</x:v>
      </x:c>
      <x:c r="L10" s="19" t="str">
        <x:v>2026-09-03</x:v>
      </x:c>
      <x:c r="M10" s="19" t="str">
        <x:v>en</x:v>
      </x:c>
      <x:c r="N10" s="19" t="str">
        <x:v>en</x:v>
      </x:c>
      <x:c r="O10" s="19" t="str">
        <x:v>United Arab Emirates</x:v>
      </x:c>
      <x:c r="P10" s="19" t="str">
        <x:v>ARE</x:v>
      </x:c>
      <x:c r="Q10" s="19" t="str">
        <x:v>Trustpilot profile displays AE</x:v>
      </x:c>
      <x:c r="R10" s="19" t="str">
        <x:v>High</x:v>
      </x:c>
      <x:c r="S10" s="19" t="n">
        <x:v>1</x:v>
      </x:c>
      <x:c r="T10" s="19" t="str">
        <x:v>付费订阅用户</x:v>
      </x:c>
      <x:c r="U10" s="19" t="str">
        <x:v>取消订阅并请求停止扣费/退款</x:v>
      </x:c>
      <x:c r="V10" s="19" t="str">
        <x:v>取消后连续数月仍扣费；只有自动邮件，未获得人工解决</x:v>
      </x:c>
      <x:c r="W10" s="19" t="str">
        <x:v>无法联系人工客服；承诺 48 小时回访但未兑现</x:v>
      </x:c>
      <x:c r="X10" s="19" t="str">
        <x:v>取消后仍被收取 5–7 月费用</x:v>
      </x:c>
      <x:c r="Y10" s="19" t="str">
        <x:v>明确取消订阅</x:v>
      </x:c>
      <x:c r="Z10" s="19" t="str">
        <x:v>Negative</x:v>
      </x:c>
      <x:c r="AA10" s="19" t="str">
        <x:v>Manual public-page review + paraphrase</x:v>
      </x:c>
      <x:c r="AB10" s="19" t="str">
        <x:v>I canceled my subscription in May 2026 and they still charged me</x:v>
      </x:c>
      <x:c r="AC10" s="19" t="str">
        <x:v>我在 2026 年 5 月取消订阅，但他们仍继续扣费。</x:v>
      </x:c>
      <x:c r="AD10" s="19" t="str">
        <x:v>[转述] 取消后仍连续扣费，且无法获得人工支持</x:v>
      </x:c>
      <x:c r="AE10" s="19" t="str">
        <x:v>Included-Adjacent</x:v>
      </x:c>
      <x:c r="AF10" s="19" t="str"/>
      <x:c r="AG10" s="19" t="str"/>
      <x:c r="AH10" s="19" t="str">
        <x:v>不是 Comet/Cowork 任务反馈，只进入商业系统边界</x:v>
      </x:c>
    </x:row>
    <x:row r="11" ht="82" customHeight="1">
      <x:c r="A11" s="19" t="str">
        <x:v>FB-ARE-20260809-000007</x:v>
      </x:c>
      <x:c r="B11" s="19" t="str">
        <x:v>ChatGPT</x:v>
      </x:c>
      <x:c r="C11" s="19" t="str">
        <x:v>General AI</x:v>
      </x:c>
      <x:c r="D11" s="19" t="str">
        <x:v>Trustpilot</x:v>
      </x:c>
      <x:c r="E11" s="19" t="str">
        <x:v>Trustpilot ChatGPT</x:v>
      </x:c>
      <x:c r="F11" s="19" t="str">
        <x:v>https://www.trustpilot.com/review/chatgpt.com?page=5</x:v>
      </x:c>
      <x:c r="G11" s="19" t="str">
        <x:v>AbuYaseen Hodjageldyev · AE · 9 Aug 2026</x:v>
      </x:c>
      <x:c r="H11" s="19" t="str">
        <x:v>AbuYaseen Hodjageldyev</x:v>
      </x:c>
      <x:c r="I11" s="19" t="str">
        <x:v>2026-08-09</x:v>
      </x:c>
      <x:c r="J11" s="19" t="str">
        <x:v>9 Aug 2026</x:v>
      </x:c>
      <x:c r="K11" s="19" t="str">
        <x:v>Exact</x:v>
      </x:c>
      <x:c r="L11" s="19" t="str">
        <x:v>2026-09-03</x:v>
      </x:c>
      <x:c r="M11" s="19" t="str">
        <x:v>en</x:v>
      </x:c>
      <x:c r="N11" s="19" t="str">
        <x:v>en</x:v>
      </x:c>
      <x:c r="O11" s="19" t="str">
        <x:v>United Arab Emirates</x:v>
      </x:c>
      <x:c r="P11" s="19" t="str">
        <x:v>ARE</x:v>
      </x:c>
      <x:c r="Q11" s="19" t="str">
        <x:v>Trustpilot profile displays AE</x:v>
      </x:c>
      <x:c r="R11" s="19" t="str">
        <x:v>High</x:v>
      </x:c>
      <x:c r="S11" s="19" t="n">
        <x:v>1</x:v>
      </x:c>
      <x:c r="T11" s="19" t="str">
        <x:v>付费用户</x:v>
      </x:c>
      <x:c r="U11" s="19" t="str">
        <x:v>仅称 simple task，未说明工作内容</x:v>
      </x:c>
      <x:c r="V11" s="19" t="str">
        <x:v>认为浪费时间</x:v>
      </x:c>
      <x:c r="W11" s="19" t="str">
        <x:v>任务细节不足，无法判断失败阶段</x:v>
      </x:c>
      <x:c r="X11" s="19" t="str">
        <x:v>付费用户</x:v>
      </x:c>
      <x:c r="Y11" s="19" t="str"/>
      <x:c r="Z11" s="19" t="str">
        <x:v>Negative</x:v>
      </x:c>
      <x:c r="AA11" s="19" t="str">
        <x:v>Manual public-page review + paraphrase</x:v>
      </x:c>
      <x:c r="AB11" s="19" t="str"/>
      <x:c r="AC11" s="19" t="str"/>
      <x:c r="AD11" s="19" t="str">
        <x:v>[转述] 付费后简单任务仍浪费时间</x:v>
      </x:c>
      <x:c r="AE11" s="19" t="str">
        <x:v>Excluded</x:v>
      </x:c>
      <x:c r="AF11" s="19" t="str">
        <x:v>任务不可识别；非 Cowork 特性</x:v>
      </x:c>
      <x:c r="AG11" s="19" t="str"/>
      <x:c r="AH11" s="19" t="str">
        <x:v>用于说明国家明确也不等于内容合格</x:v>
      </x:c>
    </x:row>
    <x:row r="12" ht="82" customHeight="1">
      <x:c r="A12" s="19" t="str">
        <x:v>FB-ARE-20250912-000008</x:v>
      </x:c>
      <x:c r="B12" s="19" t="str">
        <x:v>Perplexity Comet</x:v>
      </x:c>
      <x:c r="C12" s="19" t="str">
        <x:v>Direct browser agent</x:v>
      </x:c>
      <x:c r="D12" s="19" t="str">
        <x:v>Reddit</x:v>
      </x:c>
      <x:c r="E12" s="19" t="str">
        <x:v>r/perplexity_ai</x:v>
      </x:c>
      <x:c r="F12" s="19" t="str">
        <x:v>https://www.reddit.com/r/perplexity_ai/comments/1nf6r5e/comet_browser_the_automatic_ai_browser_from/</x:v>
      </x:c>
      <x:c r="G12" s="19" t="str">
        <x:v>Thread dated 12 Sep 2025</x:v>
      </x:c>
      <x:c r="H12" s="19" t="str">
        <x:v>not retained</x:v>
      </x:c>
      <x:c r="I12" s="19" t="str">
        <x:v>2025-09-12</x:v>
      </x:c>
      <x:c r="J12" s="19" t="str">
        <x:v>12 Sep 2025</x:v>
      </x:c>
      <x:c r="K12" s="19" t="str">
        <x:v>Exact</x:v>
      </x:c>
      <x:c r="L12" s="19" t="str">
        <x:v>2026-09-03</x:v>
      </x:c>
      <x:c r="M12" s="19" t="str">
        <x:v>en</x:v>
      </x:c>
      <x:c r="N12" s="19" t="str">
        <x:v>en</x:v>
      </x:c>
      <x:c r="O12" s="19" t="str">
        <x:v>Dubai, United Arab Emirates</x:v>
      </x:c>
      <x:c r="P12" s="19" t="str">
        <x:v>ARE</x:v>
      </x:c>
      <x:c r="Q12" s="19" t="str">
        <x:v>Body explicitly states residence in Dubai</x:v>
      </x:c>
      <x:c r="R12" s="19" t="str">
        <x:v>High</x:v>
      </x:c>
      <x:c r="S12" s="19"/>
      <x:c r="T12" s="19" t="str">
        <x:v>Dubai resident; active AI subscription user</x:v>
      </x:c>
      <x:c r="U12" s="19" t="str">
        <x:v>自动处理日常/手工网页任务、邮件与空调选购研究</x:v>
      </x:c>
      <x:c r="V12" s="19" t="str">
        <x:v>结合房间大小、Dubai 天气、电商与促销信息做决策支持</x:v>
      </x:c>
      <x:c r="W12" s="19" t="str">
        <x:v>未提及本次任务失败</x:v>
      </x:c>
      <x:c r="X12" s="19" t="str">
        <x:v>用一个订阅替代多个 AI 订阅</x:v>
      </x:c>
      <x:c r="Y12" s="19" t="str">
        <x:v>取消几乎所有其他 AI 订阅，仅保留 Gemini</x:v>
      </x:c>
      <x:c r="Z12" s="19" t="str">
        <x:v>Positive</x:v>
      </x:c>
      <x:c r="AA12" s="19" t="str">
        <x:v>Manual indexed discovery + paraphrase</x:v>
      </x:c>
      <x:c r="AB12" s="19" t="str">
        <x:v>I live in Dubai</x:v>
      </x:c>
      <x:c r="AC12" s="19" t="str">
        <x:v>我住在迪拜。</x:v>
      </x:c>
      <x:c r="AD12" s="19" t="str">
        <x:v>[转述] Dubai 用户用 Comet 自动化邮件与本地购物研究</x:v>
      </x:c>
      <x:c r="AE12" s="19" t="str">
        <x:v>Included-Core</x:v>
      </x:c>
      <x:c r="AF12" s="19" t="str"/>
      <x:c r="AG12" s="19" t="str"/>
      <x:c r="AH12" s="19" t="str">
        <x:v>本轮最完整的地理+任务+替代链路样本</x:v>
      </x:c>
    </x:row>
    <x:row r="13" ht="82" customHeight="1">
      <x:c r="A13" s="19" t="str">
        <x:v>FB-ARE-20250322-000009</x:v>
      </x:c>
      <x:c r="B13" s="19" t="str">
        <x:v>Perplexity / Claude</x:v>
      </x:c>
      <x:c r="C13" s="19" t="str">
        <x:v>Pricing demand</x:v>
      </x:c>
      <x:c r="D13" s="19" t="str">
        <x:v>Reddit</x:v>
      </x:c>
      <x:c r="E13" s="19" t="str">
        <x:v>r/dubai</x:v>
      </x:c>
      <x:c r="F13" s="19" t="str">
        <x:v>https://www.reddit.com/r/dubai/comments/1jhg4sk</x:v>
      </x:c>
      <x:c r="G13" s="19" t="str">
        <x:v>Thread dated 22 Mar 2025</x:v>
      </x:c>
      <x:c r="H13" s="19" t="str">
        <x:v>not retained</x:v>
      </x:c>
      <x:c r="I13" s="19" t="str">
        <x:v>2025-03-22</x:v>
      </x:c>
      <x:c r="J13" s="19" t="str">
        <x:v>22 Mar 2025</x:v>
      </x:c>
      <x:c r="K13" s="19" t="str">
        <x:v>Exact</x:v>
      </x:c>
      <x:c r="L13" s="19" t="str">
        <x:v>2026-09-03</x:v>
      </x:c>
      <x:c r="M13" s="19" t="str">
        <x:v>en</x:v>
      </x:c>
      <x:c r="N13" s="19" t="str">
        <x:v>en</x:v>
      </x:c>
      <x:c r="O13" s="19" t="str">
        <x:v>Dubai community</x:v>
      </x:c>
      <x:c r="P13" s="19" t="str">
        <x:v>ARE</x:v>
      </x:c>
      <x:c r="Q13" s="19" t="str">
        <x:v>Posted in r/dubai; no explicit residence retained</x:v>
      </x:c>
      <x:c r="R13" s="19" t="str">
        <x:v>Medium</x:v>
      </x:c>
      <x:c r="S13" s="19"/>
      <x:c r="T13" s="19" t="str">
        <x:v>价格敏感的潜在订阅者</x:v>
      </x:c>
      <x:c r="U13" s="19" t="str">
        <x:v>寻找 Perplexity/Claude 折扣</x:v>
      </x:c>
      <x:c r="V13" s="19" t="str">
        <x:v>询问本地可用优惠</x:v>
      </x:c>
      <x:c r="W13" s="19" t="str">
        <x:v>订阅价格</x:v>
      </x:c>
      <x:c r="X13" s="19" t="str">
        <x:v>显式折扣需求</x:v>
      </x:c>
      <x:c r="Y13" s="19" t="str">
        <x:v>比较多个产品</x:v>
      </x:c>
      <x:c r="Z13" s="19" t="str">
        <x:v>Neutral</x:v>
      </x:c>
      <x:c r="AA13" s="19" t="str">
        <x:v>Manual indexed discovery + paraphrase</x:v>
      </x:c>
      <x:c r="AB13" s="19" t="str"/>
      <x:c r="AC13" s="19" t="str"/>
      <x:c r="AD13" s="19" t="str">
        <x:v>[转述] 询问 Dubai 可用的 Perplexity/Claude 优惠</x:v>
      </x:c>
      <x:c r="AE13" s="19" t="str">
        <x:v>Excluded</x:v>
      </x:c>
      <x:c r="AF13" s="19" t="str">
        <x:v>早于主窗口；更适合 05 国家需求</x:v>
      </x:c>
      <x:c r="AG13" s="19" t="str"/>
      <x:c r="AH13" s="19" t="str">
        <x:v>后续可转移到 demand signal 表</x:v>
      </x:c>
    </x:row>
    <x:row r="14" ht="82" customHeight="1">
      <x:c r="A14" s="19" t="str">
        <x:v>FB-ARE-20260404-000010</x:v>
      </x:c>
      <x:c r="B14" s="19" t="str">
        <x:v>Genspark</x:v>
      </x:c>
      <x:c r="C14" s="19" t="str">
        <x:v>Direct agent/workspace</x:v>
      </x:c>
      <x:c r="D14" s="19" t="str">
        <x:v>Apple App Store</x:v>
      </x:c>
      <x:c r="E14" s="19" t="str">
        <x:v>UAE App Store Genspark</x:v>
      </x:c>
      <x:c r="F14" s="19" t="str">
        <x:v>https://apps.apple.com/ae/app/genspark-ai-workspace/id6739554054?platform=iphone&amp;see-all=reviews</x:v>
      </x:c>
      <x:c r="G14" s="19" t="str">
        <x:v>Mzmz2006 · I paid a lot for small tasks · 4 Apr</x:v>
      </x:c>
      <x:c r="H14" s="19" t="str">
        <x:v>Mzmz2006</x:v>
      </x:c>
      <x:c r="I14" s="19" t="str"/>
      <x:c r="J14" s="19" t="str">
        <x:v>4 Apr (year not shown)</x:v>
      </x:c>
      <x:c r="K14" s="19" t="str">
        <x:v>Year unknown</x:v>
      </x:c>
      <x:c r="L14" s="19" t="str">
        <x:v>2026-09-03</x:v>
      </x:c>
      <x:c r="M14" s="19" t="str">
        <x:v>en</x:v>
      </x:c>
      <x:c r="N14" s="19" t="str">
        <x:v>en</x:v>
      </x:c>
      <x:c r="O14" s="19" t="str">
        <x:v>UAE storefront only</x:v>
      </x:c>
      <x:c r="P14" s="19" t="str">
        <x:v>ARE</x:v>
      </x:c>
      <x:c r="Q14" s="19" t="str">
        <x:v>Page storefront=AE; no author location</x:v>
      </x:c>
      <x:c r="R14" s="19" t="str">
        <x:v>Low</x:v>
      </x:c>
      <x:c r="S14" s="19"/>
      <x:c r="T14" s="19" t="str">
        <x:v>annual subscriber</x:v>
      </x:c>
      <x:c r="U14" s="19" t="str">
        <x:v>生成图片、PPT、音乐并使用 AI designer/slides</x:v>
      </x:c>
      <x:c r="V14" s="19" t="str">
        <x:v>AI designer/slides 有价值，但月度 credits 很快限制可用性</x:v>
      </x:c>
      <x:c r="W14" s="19" t="str">
        <x:v>误以为年订阅覆盖使用；大多数产出仍需 credits</x:v>
      </x:c>
      <x:c r="X14" s="19" t="str">
        <x:v>已付年费；月度 credits 限制且难预期</x:v>
      </x:c>
      <x:c r="Y14" s="19" t="str">
        <x:v>失望但未说明是否离开</x:v>
      </x:c>
      <x:c r="Z14" s="19" t="str">
        <x:v>Negative</x:v>
      </x:c>
      <x:c r="AA14" s="19" t="str">
        <x:v>Manual storefront review + paraphrase</x:v>
      </x:c>
      <x:c r="AB14" s="19" t="str">
        <x:v>one year subscription</x:v>
      </x:c>
      <x:c r="AC14" s="19" t="str">
        <x:v>一年期订阅。</x:v>
      </x:c>
      <x:c r="AD14" s="19" t="str">
        <x:v>[转述] 年订阅后才发现图片、PPT、音乐仍受积分限制</x:v>
      </x:c>
      <x:c r="AE14" s="19" t="str">
        <x:v>Included-Core-LowGeo</x:v>
      </x:c>
      <x:c r="AF14" s="19" t="str"/>
      <x:c r="AG14" s="19" t="str"/>
      <x:c r="AH14" s="19" t="str">
        <x:v>只可用于 UAE 假设池，不能单独代表 UAE 用户</x:v>
      </x:c>
    </x:row>
    <x:row r="15" ht="82" customHeight="1">
      <x:c r="A15" s="19" t="str">
        <x:v>FB-ARE-20260220-000011</x:v>
      </x:c>
      <x:c r="B15" s="19" t="str">
        <x:v>Genspark</x:v>
      </x:c>
      <x:c r="C15" s="19" t="str">
        <x:v>Direct agent/workspace</x:v>
      </x:c>
      <x:c r="D15" s="19" t="str">
        <x:v>Apple App Store</x:v>
      </x:c>
      <x:c r="E15" s="19" t="str">
        <x:v>UAE App Store Genspark</x:v>
      </x:c>
      <x:c r="F15" s="19" t="str">
        <x:v>https://apps.apple.com/ae/app/genspark-ai-workspace/id6739554054?platform=iphone&amp;see-all=reviews</x:v>
      </x:c>
      <x:c r="G15" s="19" t="str">
        <x:v>Michelle2025dxb · Not intuitive · 20 Feb</x:v>
      </x:c>
      <x:c r="H15" s="19" t="str">
        <x:v>Michelle2025dxb</x:v>
      </x:c>
      <x:c r="I15" s="19" t="str"/>
      <x:c r="J15" s="19" t="str">
        <x:v>20 Feb (year not shown)</x:v>
      </x:c>
      <x:c r="K15" s="19" t="str">
        <x:v>Year unknown</x:v>
      </x:c>
      <x:c r="L15" s="19" t="str">
        <x:v>2026-09-03</x:v>
      </x:c>
      <x:c r="M15" s="19" t="str">
        <x:v>en</x:v>
      </x:c>
      <x:c r="N15" s="19" t="str">
        <x:v>en</x:v>
      </x:c>
      <x:c r="O15" s="19" t="str">
        <x:v>Possible Dubai</x:v>
      </x:c>
      <x:c r="P15" s="19" t="str">
        <x:v>ARE</x:v>
      </x:c>
      <x:c r="Q15" s="19" t="str">
        <x:v>AE storefront + unverified 'dxb' in alias</x:v>
      </x:c>
      <x:c r="R15" s="19" t="str">
        <x:v>Medium</x:v>
      </x:c>
      <x:c r="S15" s="19"/>
      <x:c r="T15" s="19" t="str">
        <x:v>needs a general AI assistant</x:v>
      </x:c>
      <x:c r="U15" s="19" t="str">
        <x:v>用作日常 AI assistant 并提出单次问题</x:v>
      </x:c>
      <x:c r="V15" s="19" t="str">
        <x:v>认为难用且每个问题都会消耗 tokens</x:v>
      </x:c>
      <x:c r="W15" s="19" t="str">
        <x:v>交互不直观；单位任务 credits 消耗感强</x:v>
      </x:c>
      <x:c r="X15" s="19" t="str">
        <x:v>tokens/credits 消耗</x:v>
      </x:c>
      <x:c r="Y15" s="19" t="str">
        <x:v>明确更倾向 ChatGPT</x:v>
      </x:c>
      <x:c r="Z15" s="19" t="str">
        <x:v>Negative</x:v>
      </x:c>
      <x:c r="AA15" s="19" t="str">
        <x:v>Manual storefront review + paraphrase</x:v>
      </x:c>
      <x:c r="AB15" s="19" t="str">
        <x:v>very difficult to use</x:v>
      </x:c>
      <x:c r="AC15" s="19" t="str">
        <x:v>非常难用。</x:v>
      </x:c>
      <x:c r="AD15" s="19" t="str">
        <x:v>[转述] 难上手、每次提问都耗 token，倾向改用 ChatGPT</x:v>
      </x:c>
      <x:c r="AE15" s="19" t="str">
        <x:v>Included-Core-MediumGeo</x:v>
      </x:c>
      <x:c r="AF15" s="19" t="str"/>
      <x:c r="AG15" s="19" t="str"/>
      <x:c r="AH15" s="19" t="str">
        <x:v>用户名不是可靠身份证据，仍不可升级为 High</x:v>
      </x:c>
    </x:row>
    <x:row r="16" ht="82" customHeight="1">
      <x:c r="A16" s="19" t="str">
        <x:v>FB-ARE-20260417-000012</x:v>
      </x:c>
      <x:c r="B16" s="19" t="str">
        <x:v>Genspark</x:v>
      </x:c>
      <x:c r="C16" s="19" t="str">
        <x:v>Direct agent/workspace</x:v>
      </x:c>
      <x:c r="D16" s="19" t="str">
        <x:v>Apple App Store</x:v>
      </x:c>
      <x:c r="E16" s="19" t="str">
        <x:v>UAE App Store Genspark</x:v>
      </x:c>
      <x:c r="F16" s="19" t="str">
        <x:v>https://apps.apple.com/ae/app/genspark-ai-workspace/id6739554054?platform=iphone&amp;see-all=reviews</x:v>
      </x:c>
      <x:c r="G16" s="19" t="str">
        <x:v>Chahaita · Sudden stopped working · 17 Apr</x:v>
      </x:c>
      <x:c r="H16" s="19" t="str">
        <x:v>Chahaita</x:v>
      </x:c>
      <x:c r="I16" s="19" t="str"/>
      <x:c r="J16" s="19" t="str">
        <x:v>17 Apr (year not shown)</x:v>
      </x:c>
      <x:c r="K16" s="19" t="str">
        <x:v>Year unknown</x:v>
      </x:c>
      <x:c r="L16" s="19" t="str">
        <x:v>2026-09-03</x:v>
      </x:c>
      <x:c r="M16" s="19" t="str">
        <x:v>en</x:v>
      </x:c>
      <x:c r="N16" s="19" t="str">
        <x:v>en</x:v>
      </x:c>
      <x:c r="O16" s="19" t="str">
        <x:v>UAE storefront only</x:v>
      </x:c>
      <x:c r="P16" s="19" t="str">
        <x:v>ARE</x:v>
      </x:c>
      <x:c r="Q16" s="19" t="str">
        <x:v>Page storefront=AE; no author location</x:v>
      </x:c>
      <x:c r="R16" s="19" t="str">
        <x:v>Low</x:v>
      </x:c>
      <x:c r="S16" s="19"/>
      <x:c r="T16" s="19" t="str">
        <x:v>recent purchaser</x:v>
      </x:c>
      <x:c r="U16" s="19" t="str">
        <x:v>购买后继续使用 AI workspace</x:v>
      </x:c>
      <x:c r="V16" s="19" t="str">
        <x:v>购买不足一个月即无法使用</x:v>
      </x:c>
      <x:c r="W16" s="19" t="str">
        <x:v>付费后服务中断</x:v>
      </x:c>
      <x:c r="X16" s="19" t="str">
        <x:v>已购买且权益期内不可用</x:v>
      </x:c>
      <x:c r="Y16" s="19" t="str">
        <x:v>明确不再使用</x:v>
      </x:c>
      <x:c r="Z16" s="19" t="str">
        <x:v>Negative</x:v>
      </x:c>
      <x:c r="AA16" s="19" t="str">
        <x:v>Manual storefront review + paraphrase</x:v>
      </x:c>
      <x:c r="AB16" s="19" t="str">
        <x:v>unable to use it</x:v>
      </x:c>
      <x:c r="AC16" s="19" t="str">
        <x:v>无法继续使用。</x:v>
      </x:c>
      <x:c r="AD16" s="19" t="str">
        <x:v>[转述] 购买不到一个月即无法使用，并决定停用</x:v>
      </x:c>
      <x:c r="AE16" s="19" t="str">
        <x:v>Included-Core-LowGeo</x:v>
      </x:c>
      <x:c r="AF16" s="19" t="str"/>
      <x:c r="AG16" s="19" t="str"/>
      <x:c r="AH16" s="19" t="str">
        <x:v>任务细节一般，但付费—可用性—流失链路清楚</x:v>
      </x:c>
    </x:row>
    <x:row r="17" ht="82" customHeight="1">
      <x:c r="A17" s="19" t="str">
        <x:v>FB-ARE-20260416-000013</x:v>
      </x:c>
      <x:c r="B17" s="19" t="str">
        <x:v>Genspark</x:v>
      </x:c>
      <x:c r="C17" s="19" t="str">
        <x:v>Direct agent/workspace</x:v>
      </x:c>
      <x:c r="D17" s="19" t="str">
        <x:v>Apple App Store</x:v>
      </x:c>
      <x:c r="E17" s="19" t="str">
        <x:v>UAE App Store Genspark</x:v>
      </x:c>
      <x:c r="F17" s="19" t="str">
        <x:v>https://apps.apple.com/ae/app/genspark-ai-workspace/id6739554054?platform=iphone&amp;see-all=reviews</x:v>
      </x:c>
      <x:c r="G17" s="19" t="str">
        <x:v>Matrixuae · Arabic language mistakes · 16 Apr</x:v>
      </x:c>
      <x:c r="H17" s="19" t="str">
        <x:v>Matrixuae</x:v>
      </x:c>
      <x:c r="I17" s="19" t="str"/>
      <x:c r="J17" s="19" t="str">
        <x:v>16 Apr (year not shown)</x:v>
      </x:c>
      <x:c r="K17" s="19" t="str">
        <x:v>Year unknown</x:v>
      </x:c>
      <x:c r="L17" s="19" t="str">
        <x:v>2026-09-03</x:v>
      </x:c>
      <x:c r="M17" s="19" t="str">
        <x:v>en/ar</x:v>
      </x:c>
      <x:c r="N17" s="19" t="str">
        <x:v>en</x:v>
      </x:c>
      <x:c r="O17" s="19" t="str">
        <x:v>Possible UAE</x:v>
      </x:c>
      <x:c r="P17" s="19" t="str">
        <x:v>ARE</x:v>
      </x:c>
      <x:c r="Q17" s="19" t="str">
        <x:v>AE storefront + unverified 'uae' in alias</x:v>
      </x:c>
      <x:c r="R17" s="19" t="str">
        <x:v>Medium</x:v>
      </x:c>
      <x:c r="S17" s="19"/>
      <x:c r="T17" s="19" t="str">
        <x:v>Arabic-language user</x:v>
      </x:c>
      <x:c r="U17" s="19" t="str">
        <x:v>使用阿语输出</x:v>
      </x:c>
      <x:c r="V17" s="19" t="str">
        <x:v>认为阿语错误多</x:v>
      </x:c>
      <x:c r="W17" s="19" t="str">
        <x:v>本地语言质量不足</x:v>
      </x:c>
      <x:c r="X17" s="19" t="str">
        <x:v>同时认为价格高</x:v>
      </x:c>
      <x:c r="Y17" s="19" t="str"/>
      <x:c r="Z17" s="19" t="str">
        <x:v>Negative</x:v>
      </x:c>
      <x:c r="AA17" s="19" t="str">
        <x:v>Manual storefront review + paraphrase</x:v>
      </x:c>
      <x:c r="AB17" s="19" t="str">
        <x:v>Arabic language mistakes</x:v>
      </x:c>
      <x:c r="AC17" s="19" t="str">
        <x:v>阿拉伯语错误。</x:v>
      </x:c>
      <x:c r="AD17" s="19" t="str">
        <x:v>[转述] 阿语错误较多，同时认为价格偏高</x:v>
      </x:c>
      <x:c r="AE17" s="19" t="str">
        <x:v>Included-Core-MediumGeo</x:v>
      </x:c>
      <x:c r="AF17" s="19" t="str"/>
      <x:c r="AG17" s="19" t="str"/>
      <x:c r="AH17" s="19" t="str">
        <x:v>本地化主题重要，但地理仍未独立验证</x:v>
      </x:c>
    </x:row>
    <x:row r="18" ht="82" customHeight="1">
      <x:c r="A18" s="19" t="str">
        <x:v>FB-ARE-20250516-000014</x:v>
      </x:c>
      <x:c r="B18" s="19" t="str">
        <x:v>Manus</x:v>
      </x:c>
      <x:c r="C18" s="19" t="str">
        <x:v>Direct agent/workspace</x:v>
      </x:c>
      <x:c r="D18" s="19" t="str">
        <x:v>Apple App Store</x:v>
      </x:c>
      <x:c r="E18" s="19" t="str">
        <x:v>UAE App Store Manus</x:v>
      </x:c>
      <x:c r="F18" s="19" t="str">
        <x:v>https://apps.apple.com/ae/app/manus-ai-agent-automation/id6740909540?platform=iphone&amp;see-all=reviews</x:v>
      </x:c>
      <x:c r="G18" s="19" t="str">
        <x:v>TheTruthArabian · Terrible Experience · 16 May 2025</x:v>
      </x:c>
      <x:c r="H18" s="19" t="str">
        <x:v>TheTruthArabian</x:v>
      </x:c>
      <x:c r="I18" s="19" t="str">
        <x:v>2025-05-16</x:v>
      </x:c>
      <x:c r="J18" s="19" t="str">
        <x:v>16/05/2025</x:v>
      </x:c>
      <x:c r="K18" s="19" t="str">
        <x:v>Exact</x:v>
      </x:c>
      <x:c r="L18" s="19" t="str">
        <x:v>2026-09-03</x:v>
      </x:c>
      <x:c r="M18" s="19" t="str">
        <x:v>en</x:v>
      </x:c>
      <x:c r="N18" s="19" t="str">
        <x:v>en</x:v>
      </x:c>
      <x:c r="O18" s="19" t="str">
        <x:v>UAE storefront only</x:v>
      </x:c>
      <x:c r="P18" s="19" t="str">
        <x:v>ARE</x:v>
      </x:c>
      <x:c r="Q18" s="19" t="str">
        <x:v>Page storefront=AE; alias is not location proof</x:v>
      </x:c>
      <x:c r="R18" s="19" t="str">
        <x:v>Low</x:v>
      </x:c>
      <x:c r="S18" s="19"/>
      <x:c r="T18" s="19" t="str">
        <x:v>paid app user</x:v>
      </x:c>
      <x:c r="U18" s="19" t="str">
        <x:v>付费后尝试调用 Manus 服务</x:v>
      </x:c>
      <x:c r="V18" s="19" t="str">
        <x:v>每次访问报错，但 credits 仍被扣除</x:v>
      </x:c>
      <x:c r="W18" s="19" t="str">
        <x:v>错误、未交付、客服无回复、疑似重复扣费尝试</x:v>
      </x:c>
      <x:c r="X18" s="19" t="str">
        <x:v>失败仍扣 credits；银行出现再次扣费通知</x:v>
      </x:c>
      <x:c r="Y18" s="19" t="str">
        <x:v>明确不推荐</x:v>
      </x:c>
      <x:c r="Z18" s="19" t="str">
        <x:v>Negative</x:v>
      </x:c>
      <x:c r="AA18" s="19" t="str">
        <x:v>Manual storefront review + paraphrase</x:v>
      </x:c>
      <x:c r="AB18" s="19" t="str">
        <x:v>it kept throwing errors</x:v>
      </x:c>
      <x:c r="AC18" s="19" t="str">
        <x:v>它一直报错。</x:v>
      </x:c>
      <x:c r="AD18" s="19" t="str">
        <x:v>[转述] 服务反复报错仍扣积分，客服也未响应</x:v>
      </x:c>
      <x:c r="AE18" s="19" t="str">
        <x:v>Included-Core-LowGeo</x:v>
      </x:c>
      <x:c r="AF18" s="19" t="str"/>
      <x:c r="AG18" s="19" t="str"/>
      <x:c r="AH18" s="19" t="str">
        <x:v>内容很强，但 UAE 归属仅 Low</x:v>
      </x:c>
    </x:row>
    <x:row r="19" ht="82" customHeight="1">
      <x:c r="A19" s="19" t="str">
        <x:v>FB-ARE-20260419-000015</x:v>
      </x:c>
      <x:c r="B19" s="19" t="str">
        <x:v>Manus</x:v>
      </x:c>
      <x:c r="C19" s="19" t="str">
        <x:v>Direct agent/workspace</x:v>
      </x:c>
      <x:c r="D19" s="19" t="str">
        <x:v>Apple App Store</x:v>
      </x:c>
      <x:c r="E19" s="19" t="str">
        <x:v>UAE App Store Manus</x:v>
      </x:c>
      <x:c r="F19" s="19" t="str">
        <x:v>https://apps.apple.com/ae/app/manus-ai-agent-automation/id6740909540?platform=iphone&amp;see-all=reviews</x:v>
      </x:c>
      <x:c r="G19" s="19" t="str">
        <x:v>Mazen2012 · Credits Drain · 19 Apr</x:v>
      </x:c>
      <x:c r="H19" s="19" t="str">
        <x:v>Mazen2012</x:v>
      </x:c>
      <x:c r="I19" s="19" t="str"/>
      <x:c r="J19" s="19" t="str">
        <x:v>19 Apr (year not shown)</x:v>
      </x:c>
      <x:c r="K19" s="19" t="str">
        <x:v>Year unknown</x:v>
      </x:c>
      <x:c r="L19" s="19" t="str">
        <x:v>2026-09-03</x:v>
      </x:c>
      <x:c r="M19" s="19" t="str">
        <x:v>en</x:v>
      </x:c>
      <x:c r="N19" s="19" t="str">
        <x:v>en</x:v>
      </x:c>
      <x:c r="O19" s="19" t="str">
        <x:v>UAE storefront only</x:v>
      </x:c>
      <x:c r="P19" s="19" t="str">
        <x:v>ARE</x:v>
      </x:c>
      <x:c r="Q19" s="19" t="str">
        <x:v>Page storefront=AE; no author location</x:v>
      </x:c>
      <x:c r="R19" s="19" t="str">
        <x:v>Low</x:v>
      </x:c>
      <x:c r="S19" s="19"/>
      <x:c r="T19" s="19" t="str">
        <x:v>Lite plan user</x:v>
      </x:c>
      <x:c r="U19" s="19" t="str">
        <x:v>执行一个简单任务</x:v>
      </x:c>
      <x:c r="V19" s="19" t="str">
        <x:v>简单任务消耗 510 credits，价值不足以支持订阅</x:v>
      </x:c>
      <x:c r="W19" s="19" t="str">
        <x:v>使用成本不可预测且与任务价值不匹配</x:v>
      </x:c>
      <x:c r="X19" s="19" t="str">
        <x:v>510 credits for one simple task；明确不愿订阅</x:v>
      </x:c>
      <x:c r="Y19" s="19" t="str">
        <x:v>认为有更好的替代品并预计用户会离开</x:v>
      </x:c>
      <x:c r="Z19" s="19" t="str">
        <x:v>Negative</x:v>
      </x:c>
      <x:c r="AA19" s="19" t="str">
        <x:v>Manual storefront review + paraphrase</x:v>
      </x:c>
      <x:c r="AB19" s="19" t="str">
        <x:v>A very simple task burned 510 credits</x:v>
      </x:c>
      <x:c r="AC19" s="19" t="str">
        <x:v>一个非常简单的任务消耗了 510 积分。</x:v>
      </x:c>
      <x:c r="AD19" s="19" t="str">
        <x:v>[转述] 一个简单任务消耗 510 credits，认为不值得订阅</x:v>
      </x:c>
      <x:c r="AE19" s="19" t="str">
        <x:v>Included-Core-LowGeo</x:v>
      </x:c>
      <x:c r="AF19" s="19" t="str"/>
      <x:c r="AG19" s="19" t="str"/>
      <x:c r="AH19" s="19" t="str">
        <x:v>价格主题清晰；任务具体内容未知</x:v>
      </x:c>
    </x:row>
    <x:row r="20" ht="82" customHeight="1">
      <x:c r="A20" s="19" t="str">
        <x:v>FB-ARE-20260000-000016</x:v>
      </x:c>
      <x:c r="B20" s="19" t="str">
        <x:v>ChatGPT</x:v>
      </x:c>
      <x:c r="C20" s="19" t="str">
        <x:v>General AI</x:v>
      </x:c>
      <x:c r="D20" s="19" t="str">
        <x:v>Apple App Store</x:v>
      </x:c>
      <x:c r="E20" s="19" t="str">
        <x:v>UAE App Store ChatGPT</x:v>
      </x:c>
      <x:c r="F20" s="19" t="str">
        <x:v>https://apps.apple.com/ae/app/chatgpt/id6448311069?platform=iphone&amp;see-all=reviews</x:v>
      </x:c>
      <x:c r="G20" s="19" t="str">
        <x:v>Review text explicitly references leaving Afghanistan</x:v>
      </x:c>
      <x:c r="H20" s="19" t="str">
        <x:v>not retained</x:v>
      </x:c>
      <x:c r="I20" s="19" t="str"/>
      <x:c r="J20" s="19" t="str">
        <x:v>not retained</x:v>
      </x:c>
      <x:c r="K20" s="19" t="str">
        <x:v>Unknown</x:v>
      </x:c>
      <x:c r="L20" s="19" t="str">
        <x:v>2026-09-03</x:v>
      </x:c>
      <x:c r="M20" s="19" t="str">
        <x:v>en</x:v>
      </x:c>
      <x:c r="N20" s="19" t="str">
        <x:v>en</x:v>
      </x:c>
      <x:c r="O20" s="19" t="str">
        <x:v>Afghanistan</x:v>
      </x:c>
      <x:c r="P20" s="19" t="str">
        <x:v>AFG</x:v>
      </x:c>
      <x:c r="Q20" s="19" t="str">
        <x:v>Review body explicitly identifies Afghanistan context despite AE storefront</x:v>
      </x:c>
      <x:c r="R20" s="19" t="str">
        <x:v>High</x:v>
      </x:c>
      <x:c r="S20" s="19"/>
      <x:c r="T20" s="19" t="str">
        <x:v>Afghanistan context</x:v>
      </x:c>
      <x:c r="U20" s="19" t="str">
        <x:v>general ChatGPT use</x:v>
      </x:c>
      <x:c r="V20" s="19" t="str">
        <x:v>not coded</x:v>
      </x:c>
      <x:c r="W20" s="19" t="str">
        <x:v>not coded</x:v>
      </x:c>
      <x:c r="X20" s="19" t="str"/>
      <x:c r="Y20" s="19" t="str"/>
      <x:c r="Z20" s="19" t="str">
        <x:v>Unknown</x:v>
      </x:c>
      <x:c r="AA20" s="19" t="str">
        <x:v>Manual storefront geo-audit</x:v>
      </x:c>
      <x:c r="AB20" s="19" t="str">
        <x:v>Afghanistan</x:v>
      </x:c>
      <x:c r="AC20" s="19" t="str">
        <x:v>阿富汗。</x:v>
      </x:c>
      <x:c r="AD20" s="19" t="str">
        <x:v>[转述] 正文明确出现 Afghanistan，与 UAE storefront 冲突</x:v>
      </x:c>
      <x:c r="AE20" s="19" t="str">
        <x:v>Excluded</x:v>
      </x:c>
      <x:c r="AF20" s="19" t="str">
        <x:v>Wrong country; geo counterexample</x:v>
      </x:c>
      <x:c r="AG20" s="19" t="str"/>
      <x:c r="AH20" s="19" t="str">
        <x:v>直接证明 storefront 不能等同 reviewer country</x:v>
      </x:c>
    </x:row>
    <x:row r="21" ht="82" customHeight="1">
      <x:c r="A21" s="19" t="str">
        <x:v>FB-GLB-20260000-000017</x:v>
      </x:c>
      <x:c r="B21" s="19" t="str">
        <x:v>Claude Cowork</x:v>
      </x:c>
      <x:c r="C21" s="19" t="str">
        <x:v>Direct cowork feature</x:v>
      </x:c>
      <x:c r="D21" s="19" t="str">
        <x:v>YouTube</x:v>
      </x:c>
      <x:c r="E21" s="19" t="str">
        <x:v>YouTube public search</x:v>
      </x:c>
      <x:c r="F21" s="19" t="str">
        <x:v>https://www.youtube.com/results?search_query=%D9%82%D8%B6%D9%8A%D8%AA+%D8%B4%D9%87%D8%B1%D9%8A%D9%86+Claude+Cowork</x:v>
      </x:c>
      <x:c r="G21" s="19" t="str">
        <x:v>Arabic video: قضيت شهرين مع Claude Cowork</x:v>
      </x:c>
      <x:c r="H21" s="19" t="str">
        <x:v>channel not retained</x:v>
      </x:c>
      <x:c r="I21" s="19" t="str"/>
      <x:c r="J21" s="19" t="str">
        <x:v>not retained</x:v>
      </x:c>
      <x:c r="K21" s="19" t="str">
        <x:v>Unknown</x:v>
      </x:c>
      <x:c r="L21" s="19" t="str">
        <x:v>2026-09-03</x:v>
      </x:c>
      <x:c r="M21" s="19" t="str">
        <x:v>ar</x:v>
      </x:c>
      <x:c r="N21" s="19" t="str">
        <x:v>ar</x:v>
      </x:c>
      <x:c r="O21" s="19" t="str">
        <x:v>Arabic-speaking only</x:v>
      </x:c>
      <x:c r="P21" s="19" t="str"/>
      <x:c r="Q21" s="19" t="str">
        <x:v>Language only; no UAE marker</x:v>
      </x:c>
      <x:c r="R21" s="19" t="str">
        <x:v>Unknown</x:v>
      </x:c>
      <x:c r="S21" s="19"/>
      <x:c r="T21" s="19" t="str">
        <x:v>video creator</x:v>
      </x:c>
      <x:c r="U21" s="19" t="str">
        <x:v>Claude Cowork long-form experience video</x:v>
      </x:c>
      <x:c r="V21" s="19" t="str">
        <x:v>not coded</x:v>
      </x:c>
      <x:c r="W21" s="19" t="str">
        <x:v>not coded</x:v>
      </x:c>
      <x:c r="X21" s="19" t="str"/>
      <x:c r="Y21" s="19" t="str"/>
      <x:c r="Z21" s="19" t="str">
        <x:v>Unknown</x:v>
      </x:c>
      <x:c r="AA21" s="19" t="str">
        <x:v>Search discovery only</x:v>
      </x:c>
      <x:c r="AB21" s="19" t="str">
        <x:v>قضيت شهرين مع Claude Cowork</x:v>
      </x:c>
      <x:c r="AC21" s="19" t="str">
        <x:v>我使用 Claude Cowork 两个月。</x:v>
      </x:c>
      <x:c r="AD21" s="19" t="str">
        <x:v>[转述] 阿语 Cowork 体验内容，但无法归属 UAE</x:v>
      </x:c>
      <x:c r="AE21" s="19" t="str">
        <x:v>Excluded</x:v>
      </x:c>
      <x:c r="AF21" s="19" t="str">
        <x:v>No UAE geo evidence</x:v>
      </x:c>
      <x:c r="AG21" s="19" t="str"/>
      <x:c r="AH21" s="19" t="str">
        <x:v>可进入 Global-Arabic 候选池</x:v>
      </x:c>
    </x:row>
    <x:row r="22" ht="82" customHeight="1">
      <x:c r="A22" s="19" t="str">
        <x:v>FB-GLB-20260000-000018</x:v>
      </x:c>
      <x:c r="B22" s="19" t="str">
        <x:v>Genspark</x:v>
      </x:c>
      <x:c r="C22" s="19" t="str">
        <x:v>Direct agent/workspace</x:v>
      </x:c>
      <x:c r="D22" s="19" t="str">
        <x:v>Google Play</x:v>
      </x:c>
      <x:c r="E22" s="19" t="str">
        <x:v>Google Play Arabic storefront</x:v>
      </x:c>
      <x:c r="F22" s="19" t="str">
        <x:v>https://play.google.com/store/apps/details?hl=ar&amp;id=ai.mainfunc.genspark</x:v>
      </x:c>
      <x:c r="G22" s="19" t="str">
        <x:v>Arabic review about credits and image generation</x:v>
      </x:c>
      <x:c r="H22" s="19" t="str">
        <x:v>not retained</x:v>
      </x:c>
      <x:c r="I22" s="19" t="str"/>
      <x:c r="J22" s="19" t="str">
        <x:v>not retained</x:v>
      </x:c>
      <x:c r="K22" s="19" t="str">
        <x:v>Unknown</x:v>
      </x:c>
      <x:c r="L22" s="19" t="str">
        <x:v>2026-09-03</x:v>
      </x:c>
      <x:c r="M22" s="19" t="str">
        <x:v>ar</x:v>
      </x:c>
      <x:c r="N22" s="19" t="str">
        <x:v>ar</x:v>
      </x:c>
      <x:c r="O22" s="19" t="str">
        <x:v>Arabic-speaking only</x:v>
      </x:c>
      <x:c r="P22" s="19" t="str"/>
      <x:c r="Q22" s="19" t="str">
        <x:v>Arabic interface/review only; no UAE marker</x:v>
      </x:c>
      <x:c r="R22" s="19" t="str">
        <x:v>Unknown</x:v>
      </x:c>
      <x:c r="S22" s="19"/>
      <x:c r="T22" s="19" t="str">
        <x:v>mobile user</x:v>
      </x:c>
      <x:c r="U22" s="19" t="str">
        <x:v>图片生成</x:v>
      </x:c>
      <x:c r="V22" s="19" t="str">
        <x:v>对 credits 成本不满</x:v>
      </x:c>
      <x:c r="W22" s="19" t="str">
        <x:v>credits 价格/消耗</x:v>
      </x:c>
      <x:c r="X22" s="19" t="str">
        <x:v>high credit cost</x:v>
      </x:c>
      <x:c r="Y22" s="19" t="str"/>
      <x:c r="Z22" s="19" t="str">
        <x:v>Negative</x:v>
      </x:c>
      <x:c r="AA22" s="19" t="str">
        <x:v>Manual public-page review + paraphrase</x:v>
      </x:c>
      <x:c r="AB22" s="19" t="str"/>
      <x:c r="AC22" s="19" t="str"/>
      <x:c r="AD22" s="19" t="str">
        <x:v>[转述] 阿语评论提到积分成本与图片生成问题</x:v>
      </x:c>
      <x:c r="AE22" s="19" t="str">
        <x:v>Excluded</x:v>
      </x:c>
      <x:c r="AF22" s="19" t="str">
        <x:v>No UAE geo evidence</x:v>
      </x:c>
      <x:c r="AG22" s="19" t="str"/>
      <x:c r="AH22" s="19" t="str">
        <x:v>进入 Global-Arabic 主题池，不进入 ARE</x:v>
      </x:c>
    </x:row>
    <x:row r="23" ht="82" customHeight="1">
      <x:c r="A23" s="19" t="str">
        <x:v>DS-ARE-20260520-000019</x:v>
      </x:c>
      <x:c r="B23" s="19" t="str">
        <x:v>General AI search visibility</x:v>
      </x:c>
      <x:c r="C23" s="19" t="str">
        <x:v>Country demand</x:v>
      </x:c>
      <x:c r="D23" s="19" t="str">
        <x:v>Reddit</x:v>
      </x:c>
      <x:c r="E23" s="19" t="str">
        <x:v>r/UAE</x:v>
      </x:c>
      <x:c r="F23" s="19" t="str">
        <x:v>https://www.reddit.com/r/UAE/comments/1tie48b/has_anyone_here_tested_geo_ai_search_visibility/</x:v>
      </x:c>
      <x:c r="G23" s="19" t="str">
        <x:v>UAE SME asks about GEO/AI search visibility</x:v>
      </x:c>
      <x:c r="H23" s="19" t="str">
        <x:v>not retained</x:v>
      </x:c>
      <x:c r="I23" s="19" t="str">
        <x:v>2026-05-20</x:v>
      </x:c>
      <x:c r="J23" s="19" t="str">
        <x:v>20 May 2026</x:v>
      </x:c>
      <x:c r="K23" s="19" t="str">
        <x:v>Exact</x:v>
      </x:c>
      <x:c r="L23" s="19" t="str">
        <x:v>2026-09-03</x:v>
      </x:c>
      <x:c r="M23" s="19" t="str">
        <x:v>en</x:v>
      </x:c>
      <x:c r="N23" s="19" t="str">
        <x:v>en</x:v>
      </x:c>
      <x:c r="O23" s="19" t="str">
        <x:v>United Arab Emirates</x:v>
      </x:c>
      <x:c r="P23" s="19" t="str">
        <x:v>ARE</x:v>
      </x:c>
      <x:c r="Q23" s="19" t="str">
        <x:v>UAE SME context in body + r/UAE</x:v>
      </x:c>
      <x:c r="R23" s="19" t="str">
        <x:v>High</x:v>
      </x:c>
      <x:c r="S23" s="19"/>
      <x:c r="T23" s="19" t="str">
        <x:v>UAE SME</x:v>
      </x:c>
      <x:c r="U23" s="19" t="str">
        <x:v>提升 AI search visibility / GEO</x:v>
      </x:c>
      <x:c r="V23" s="19" t="str">
        <x:v>寻求工具或经验</x:v>
      </x:c>
      <x:c r="W23" s="19" t="str">
        <x:v>现有可见性/方法不确定</x:v>
      </x:c>
      <x:c r="X23" s="19" t="str"/>
      <x:c r="Y23" s="19" t="str"/>
      <x:c r="Z23" s="19" t="str">
        <x:v>Neutral</x:v>
      </x:c>
      <x:c r="AA23" s="19" t="str">
        <x:v>Manual indexed discovery + paraphrase</x:v>
      </x:c>
      <x:c r="AB23" s="19" t="str">
        <x:v>Has anyone here tested GEO / AI search visibility?</x:v>
      </x:c>
      <x:c r="AC23" s="19" t="str">
        <x:v>这里有人测试过 GEO / AI 搜索可见性吗？</x:v>
      </x:c>
      <x:c r="AD23" s="19" t="str">
        <x:v>[转述] UAE SME 寻求 AI 搜索可见性方案</x:v>
      </x:c>
      <x:c r="AE23" s="19" t="str">
        <x:v>Excluded</x:v>
      </x:c>
      <x:c r="AF23" s="19" t="str">
        <x:v>Belongs to 05 country-demand dataset</x:v>
      </x:c>
      <x:c r="AG23" s="19" t="str"/>
      <x:c r="AH23" s="19" t="str">
        <x:v>这是 04 与 05 分流的示例</x:v>
      </x:c>
    </x:row>
    <x:row r="24" ht="82" customHeight="1">
      <x:c r="A24" s="19" t="str">
        <x:v>FB-ARE-20260000-000020</x:v>
      </x:c>
      <x:c r="B24" s="19" t="str">
        <x:v>Manus</x:v>
      </x:c>
      <x:c r="C24" s="19" t="str">
        <x:v>Editorial review</x:v>
      </x:c>
      <x:c r="D24" s="19" t="str">
        <x:v>Editorial/SEO</x:v>
      </x:c>
      <x:c r="E24" s="19" t="str">
        <x:v>MenaElite</x:v>
      </x:c>
      <x:c r="F24" s="19" t="str">
        <x:v>https://menaelite.com/manus-ai-agent-review-uae-2026/</x:v>
      </x:c>
      <x:c r="G24" s="19" t="str">
        <x:v>Manus AI Agent Review UAE 2026</x:v>
      </x:c>
      <x:c r="H24" s="19" t="str">
        <x:v>editorial</x:v>
      </x:c>
      <x:c r="I24" s="19" t="str">
        <x:v>2026</x:v>
      </x:c>
      <x:c r="J24" s="19" t="str">
        <x:v>2026</x:v>
      </x:c>
      <x:c r="K24" s="19" t="str">
        <x:v>Year only</x:v>
      </x:c>
      <x:c r="L24" s="19" t="str">
        <x:v>2026-09-03</x:v>
      </x:c>
      <x:c r="M24" s="19" t="str">
        <x:v>en</x:v>
      </x:c>
      <x:c r="N24" s="19" t="str">
        <x:v>en</x:v>
      </x:c>
      <x:c r="O24" s="19" t="str">
        <x:v>UAE-targeted article</x:v>
      </x:c>
      <x:c r="P24" s="19" t="str">
        <x:v>ARE</x:v>
      </x:c>
      <x:c r="Q24" s="19" t="str">
        <x:v>UAE in article targeting, not a user location</x:v>
      </x:c>
      <x:c r="R24" s="19" t="str">
        <x:v>Unknown</x:v>
      </x:c>
      <x:c r="S24" s="19"/>
      <x:c r="T24" s="19" t="str">
        <x:v>publisher/editor</x:v>
      </x:c>
      <x:c r="U24" s="19" t="str">
        <x:v>product review article</x:v>
      </x:c>
      <x:c r="V24" s="19" t="str">
        <x:v>not coded</x:v>
      </x:c>
      <x:c r="W24" s="19" t="str">
        <x:v>not coded</x:v>
      </x:c>
      <x:c r="X24" s="19" t="str"/>
      <x:c r="Y24" s="19" t="str"/>
      <x:c r="Z24" s="19" t="str">
        <x:v>Unknown</x:v>
      </x:c>
      <x:c r="AA24" s="19" t="str">
        <x:v>Search discovery only</x:v>
      </x:c>
      <x:c r="AB24" s="19" t="str">
        <x:v>Manus AI Agent Review UAE 2026</x:v>
      </x:c>
      <x:c r="AC24" s="19" t="str">
        <x:v>2026 年 UAE Manus AI Agent 评测。</x:v>
      </x:c>
      <x:c r="AD24" s="19" t="str">
        <x:v>[转述] 面向 UAE 的评测文章，但不是用户原始反馈</x:v>
      </x:c>
      <x:c r="AE24" s="19" t="str">
        <x:v>Excluded</x:v>
      </x:c>
      <x:c r="AF24" s="19" t="str">
        <x:v>Editorial/SEO, not user-generated feedback</x:v>
      </x:c>
      <x:c r="AG24" s="19" t="str"/>
      <x:c r="AH24" s="19" t="str">
        <x:v>只用于发现当地词与候选假设</x:v>
      </x:c>
    </x:row>
  </x:sheetData>
  <x:mergeCells>
    <x:mergeCell ref="A1:AH1"/>
    <x:mergeCell ref="A2:AH2"/>
  </x:mergeCells>
  <x:conditionalFormatting sqref="R5:R24">
    <x:cfRule type="containsText" dxfId="0" priority="1" operator="containsText" text="High"/>
    <x:cfRule type="containsText" dxfId="1" priority="2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c1ed435db0046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46" hidden="0" customWidth="1"/>
    <x:col min="7" max="7" width="13" hidden="0" customWidth="1"/>
    <x:col min="8" max="8" width="13" hidden="0" customWidth="1"/>
    <x:col min="9" max="9" width="25" hidden="0" customWidth="1"/>
    <x:col min="10" max="10" width="11" hidden="0" customWidth="1"/>
    <x:col min="11" max="11" width="14" hidden="0" customWidth="1"/>
    <x:col min="12" max="12" width="38" hidden="0" customWidth="1"/>
    <x:col min="13" max="13" width="12" hidden="0" customWidth="1"/>
    <x:col min="14" max="14" width="12" hidden="0" customWidth="1"/>
    <x:col min="15" max="15" width="34" hidden="0" customWidth="1"/>
    <x:col min="16" max="16" width="14" hidden="0" customWidth="1"/>
    <x:col min="17" max="17" width="40" hidden="0" customWidth="1"/>
    <x:col min="18" max="18" width="30" hidden="0" customWidth="1"/>
    <x:col min="19" max="19" width="38" hidden="0" customWidth="1"/>
    <x:col min="20" max="20" width="38" hidden="0" customWidth="1"/>
    <x:col min="21" max="21" width="42" hidden="0" customWidth="1"/>
    <x:col min="22" max="22" width="14" hidden="0" customWidth="1"/>
    <x:col min="23" max="23" width="26" hidden="0" customWidth="1"/>
    <x:col min="24" max="24" width="30" hidden="0" customWidth="1"/>
    <x:col min="25" max="25" width="28" hidden="0" customWidth="1"/>
    <x:col min="26" max="26" width="24" hidden="0" customWidth="1"/>
    <x:col min="27" max="27" width="34" hidden="0" customWidth="1"/>
    <x:col min="28" max="28" width="34" hidden="0" customWidth="1"/>
    <x:col min="29" max="29" width="30" hidden="0" customWidth="1"/>
    <x:col min="30" max="30" width="34" hidden="0" customWidth="1"/>
    <x:col min="31" max="31" width="30" hidden="0" customWidth="1"/>
    <x:col min="32" max="32" width="38" hidden="0" customWidth="1"/>
    <x:col min="33" max="33" width="12" hidden="0" customWidth="1"/>
    <x:col min="34" max="34" width="42" hidden="0" customWidth="1"/>
    <x:col min="35" max="35" width="18" hidden="0" customWidth="1"/>
    <x:col min="36" max="36" width="12" hidden="0" customWidth="1"/>
    <x:col min="37" max="37" width="14" hidden="0" customWidth="1"/>
    <x:col min="38" max="38" width="38" hidden="0" customWidth="1"/>
    <x:col min="39" max="39" width="38" hidden="0" customWidth="1"/>
  </x:cols>
  <x:sheetData>
    <x:row r="1" ht="34" customHeight="1">
      <x:c r="A1" s="3" t="str">
        <x:v>Coded Feedback｜13 条可编码记录</x:v>
      </x:c>
      <x:c r="B1" s="3" t="str">
        <x:v>Coded Feedback｜13 条可编码记录</x:v>
      </x:c>
      <x:c r="C1" s="3" t="str">
        <x:v>Coded Feedback｜13 条可编码记录</x:v>
      </x:c>
      <x:c r="D1" s="3" t="str">
        <x:v>Coded Feedback｜13 条可编码记录</x:v>
      </x:c>
      <x:c r="E1" s="3" t="str">
        <x:v>Coded Feedback｜13 条可编码记录</x:v>
      </x:c>
      <x:c r="F1" s="3" t="str">
        <x:v>Coded Feedback｜13 条可编码记录</x:v>
      </x:c>
      <x:c r="G1" s="3" t="str">
        <x:v>Coded Feedback｜13 条可编码记录</x:v>
      </x:c>
      <x:c r="H1" s="3" t="str">
        <x:v>Coded Feedback｜13 条可编码记录</x:v>
      </x:c>
      <x:c r="I1" s="3" t="str">
        <x:v>Coded Feedback｜13 条可编码记录</x:v>
      </x:c>
      <x:c r="J1" s="3" t="str">
        <x:v>Coded Feedback｜13 条可编码记录</x:v>
      </x:c>
      <x:c r="K1" s="3" t="str">
        <x:v>Coded Feedback｜13 条可编码记录</x:v>
      </x:c>
      <x:c r="L1" s="3" t="str">
        <x:v>Coded Feedback｜13 条可编码记录</x:v>
      </x:c>
      <x:c r="M1" s="3" t="str">
        <x:v>Coded Feedback｜13 条可编码记录</x:v>
      </x:c>
      <x:c r="N1" s="3" t="str">
        <x:v>Coded Feedback｜13 条可编码记录</x:v>
      </x:c>
      <x:c r="O1" s="3" t="str">
        <x:v>Coded Feedback｜13 条可编码记录</x:v>
      </x:c>
      <x:c r="P1" s="3" t="str">
        <x:v>Coded Feedback｜13 条可编码记录</x:v>
      </x:c>
      <x:c r="Q1" s="3" t="str">
        <x:v>Coded Feedback｜13 条可编码记录</x:v>
      </x:c>
      <x:c r="R1" s="3" t="str">
        <x:v>Coded Feedback｜13 条可编码记录</x:v>
      </x:c>
      <x:c r="S1" s="3" t="str">
        <x:v>Coded Feedback｜13 条可编码记录</x:v>
      </x:c>
      <x:c r="T1" s="3" t="str">
        <x:v>Coded Feedback｜13 条可编码记录</x:v>
      </x:c>
      <x:c r="U1" s="3" t="str">
        <x:v>Coded Feedback｜13 条可编码记录</x:v>
      </x:c>
      <x:c r="V1" s="3" t="str">
        <x:v>Coded Feedback｜13 条可编码记录</x:v>
      </x:c>
      <x:c r="W1" s="3" t="str">
        <x:v>Coded Feedback｜13 条可编码记录</x:v>
      </x:c>
      <x:c r="X1" s="3" t="str">
        <x:v>Coded Feedback｜13 条可编码记录</x:v>
      </x:c>
      <x:c r="Y1" s="3" t="str">
        <x:v>Coded Feedback｜13 条可编码记录</x:v>
      </x:c>
      <x:c r="Z1" s="3" t="str">
        <x:v>Coded Feedback｜13 条可编码记录</x:v>
      </x:c>
      <x:c r="AA1" s="3" t="str">
        <x:v>Coded Feedback｜13 条可编码记录</x:v>
      </x:c>
      <x:c r="AB1" s="3" t="str">
        <x:v>Coded Feedback｜13 条可编码记录</x:v>
      </x:c>
      <x:c r="AC1" s="3" t="str">
        <x:v>Coded Feedback｜13 条可编码记录</x:v>
      </x:c>
      <x:c r="AD1" s="3" t="str">
        <x:v>Coded Feedback｜13 条可编码记录</x:v>
      </x:c>
      <x:c r="AE1" s="3" t="str">
        <x:v>Coded Feedback｜13 条可编码记录</x:v>
      </x:c>
      <x:c r="AF1" s="3" t="str">
        <x:v>Coded Feedback｜13 条可编码记录</x:v>
      </x:c>
      <x:c r="AG1" s="3" t="str">
        <x:v>Coded Feedback｜13 条可编码记录</x:v>
      </x:c>
      <x:c r="AH1" s="3" t="str">
        <x:v>Coded Feedback｜13 条可编码记录</x:v>
      </x:c>
      <x:c r="AI1" s="3" t="str">
        <x:v>Coded Feedback｜13 条可编码记录</x:v>
      </x:c>
      <x:c r="AJ1" s="3" t="str">
        <x:v>Coded Feedback｜13 条可编码记录</x:v>
      </x:c>
      <x:c r="AK1" s="3" t="str">
        <x:v>Coded Feedback｜13 条可编码记录</x:v>
      </x:c>
      <x:c r="AL1" s="3" t="str">
        <x:v>Coded Feedback｜13 条可编码记录</x:v>
      </x:c>
      <x:c r="AM1" s="3" t="str">
        <x:v>Coded Feedback｜13 条可编码记录</x:v>
      </x:c>
    </x:row>
    <x:row r="2" ht="28" customHeight="1">
      <x:c r="A2" s="27" t="str">
        <x:v>7 条 High geo 进入 UAE 核心/相邻样本；6 条 App Store Low/Medium geo 只作为待验证主题假设。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</x:row>
    <x:row r="4" ht="32" customHeight="1">
      <x:c r="A4" s="15" t="str">
        <x:v>feedback_id</x:v>
      </x:c>
      <x:c r="B4" s="16" t="str">
        <x:v>product</x:v>
      </x:c>
      <x:c r="C4" s="16" t="str">
        <x:v>product_tier</x:v>
      </x:c>
      <x:c r="D4" s="16" t="str">
        <x:v>source_type</x:v>
      </x:c>
      <x:c r="E4" s="16" t="str">
        <x:v>source_name</x:v>
      </x:c>
      <x:c r="F4" s="16" t="str">
        <x:v>source_url</x:v>
      </x:c>
      <x:c r="G4" s="16" t="str">
        <x:v>published_at</x:v>
      </x:c>
      <x:c r="H4" s="16" t="str">
        <x:v>captured_at</x:v>
      </x:c>
      <x:c r="I4" s="16" t="str">
        <x:v>country_or_region</x:v>
      </x:c>
      <x:c r="J4" s="16" t="str">
        <x:v>country_iso3</x:v>
      </x:c>
      <x:c r="K4" s="16" t="str">
        <x:v>country_confidence</x:v>
      </x:c>
      <x:c r="L4" s="16" t="str">
        <x:v>geo_evidence</x:v>
      </x:c>
      <x:c r="M4" s="16" t="str">
        <x:v>query_language</x:v>
      </x:c>
      <x:c r="N4" s="16" t="str">
        <x:v>content_language</x:v>
      </x:c>
      <x:c r="O4" s="16" t="str">
        <x:v>user_role</x:v>
      </x:c>
      <x:c r="P4" s="16" t="str">
        <x:v>company_size</x:v>
      </x:c>
      <x:c r="Q4" s="16" t="str">
        <x:v>job_to_be_done</x:v>
      </x:c>
      <x:c r="R4" s="16" t="str">
        <x:v>trigger</x:v>
      </x:c>
      <x:c r="S4" s="16" t="str">
        <x:v>input_or_connected_tools</x:v>
      </x:c>
      <x:c r="T4" s="16" t="str">
        <x:v>expected_output</x:v>
      </x:c>
      <x:c r="U4" s="16" t="str">
        <x:v>actual_result</x:v>
      </x:c>
      <x:c r="V4" s="16" t="str">
        <x:v>success_status</x:v>
      </x:c>
      <x:c r="W4" s="16" t="str">
        <x:v>failure_stage</x:v>
      </x:c>
      <x:c r="X4" s="16" t="str">
        <x:v>manual_interventions</x:v>
      </x:c>
      <x:c r="Y4" s="16" t="str">
        <x:v>time_or_latency</x:v>
      </x:c>
      <x:c r="Z4" s="16" t="str">
        <x:v>setup_difficulty</x:v>
      </x:c>
      <x:c r="AA4" s="16" t="str">
        <x:v>reliability</x:v>
      </x:c>
      <x:c r="AB4" s="16" t="str">
        <x:v>control_and_approval</x:v>
      </x:c>
      <x:c r="AC4" s="16" t="str">
        <x:v>privacy_and_trust</x:v>
      </x:c>
      <x:c r="AD4" s="16" t="str">
        <x:v>pricing_or_usage_limit</x:v>
      </x:c>
      <x:c r="AE4" s="16" t="str">
        <x:v>current_alternative</x:v>
      </x:c>
      <x:c r="AF4" s="16" t="str">
        <x:v>retention_churn_or_switching_signal</x:v>
      </x:c>
      <x:c r="AG4" s="16" t="str">
        <x:v>sentiment</x:v>
      </x:c>
      <x:c r="AH4" s="16" t="str">
        <x:v>evidence_excerpt</x:v>
      </x:c>
      <x:c r="AI4" s="16" t="str">
        <x:v>inclusion_status</x:v>
      </x:c>
      <x:c r="AJ4" s="16" t="str">
        <x:v>scope_class</x:v>
      </x:c>
      <x:c r="AK4" s="16" t="str">
        <x:v>date_confidence</x:v>
      </x:c>
      <x:c r="AL4" s="16" t="str">
        <x:v>source_bias_note</x:v>
      </x:c>
      <x:c r="AM4" s="17" t="str">
        <x:v>researcher_note</x:v>
      </x:c>
    </x:row>
    <x:row r="5" ht="78" customHeight="1">
      <x:c r="A5" s="19" t="str">
        <x:v>FB-ARE-20260602-000001</x:v>
      </x:c>
      <x:c r="B5" s="19" t="str">
        <x:v>Manus</x:v>
      </x:c>
      <x:c r="C5" s="19" t="str">
        <x:v>A1 Direct</x:v>
      </x:c>
      <x:c r="D5" s="19" t="str">
        <x:v>Review platform</x:v>
      </x:c>
      <x:c r="E5" s="19" t="str">
        <x:v>Trustpilot</x:v>
      </x:c>
      <x:c r="F5" s="19" t="str">
        <x:v>https://es.trustpilot.com/review/manus.im</x:v>
      </x:c>
      <x:c r="G5" s="19" t="str">
        <x:v>2026-06-02</x:v>
      </x:c>
      <x:c r="H5" s="19" t="str">
        <x:v>2026-09-03</x:v>
      </x:c>
      <x:c r="I5" s="19" t="str">
        <x:v>United Arab Emirates</x:v>
      </x:c>
      <x:c r="J5" s="19" t="str">
        <x:v>ARE</x:v>
      </x:c>
      <x:c r="K5" s="19" t="str">
        <x:v>High</x:v>
      </x:c>
      <x:c r="L5" s="19" t="str">
        <x:v>Profile displays AE; not independently verified</x:v>
      </x:c>
      <x:c r="M5" s="19" t="str">
        <x:v>en/es</x:v>
      </x:c>
      <x:c r="N5" s="19" t="str">
        <x:v>es</x:v>
      </x:c>
      <x:c r="O5" s="19" t="str">
        <x:v>App builder / entrepreneur (inferred)</x:v>
      </x:c>
      <x:c r="P5" s="19" t="str">
        <x:v>Unknown</x:v>
      </x:c>
      <x:c r="Q5" s="19" t="str">
        <x:v>Build and continue developing an application</x:v>
      </x:c>
      <x:c r="R5" s="19" t="str">
        <x:v>Existing project already advanced</x:v>
      </x:c>
      <x:c r="S5" s="19" t="str">
        <x:v>Existing Manus project; credits</x:v>
      </x:c>
      <x:c r="T5" s="19" t="str">
        <x:v>Continue building without losing prior work</x:v>
      </x:c>
      <x:c r="U5" s="19" t="str">
        <x:v>Project progressed, but refunds did not restore credits and plan costs escalated</x:v>
      </x:c>
      <x:c r="V5" s="19" t="str">
        <x:v>Partial</x:v>
      </x:c>
      <x:c r="W5" s="19" t="str">
        <x:v>Billing / credit recovery</x:v>
      </x:c>
      <x:c r="X5" s="19" t="str">
        <x:v>Repeated refund claims</x:v>
      </x:c>
      <x:c r="Y5" s="19" t="str">
        <x:v>Switching would require rebuilding</x:v>
      </x:c>
      <x:c r="Z5" s="19" t="str">
        <x:v>Unknown</x:v>
      </x:c>
      <x:c r="AA5" s="19" t="str">
        <x:v>Product capability positive; commercial system unreliable</x:v>
      </x:c>
      <x:c r="AB5" s="19" t="str">
        <x:v>Credit ledger/refund status lacks control</x:v>
      </x:c>
      <x:c r="AC5" s="19" t="str">
        <x:v>Trust damaged by unresolved credits</x:v>
      </x:c>
      <x:c r="AD5" s="19" t="str">
        <x:v>&gt;US$200 spent; higher plan needed</x:v>
      </x:c>
      <x:c r="AE5" s="19" t="str">
        <x:v>Other options, unnamed</x:v>
      </x:c>
      <x:c r="AF5" s="19" t="str">
        <x:v>Locked in by prior time/money despite dissatisfaction</x:v>
      </x:c>
      <x:c r="AG5" s="19" t="str">
        <x:v>Negative</x:v>
      </x:c>
      <x:c r="AH5" s="19" t="str">
        <x:v>[转述] 应用已做得较深，但积分与退款问题造成锁定</x:v>
      </x:c>
      <x:c r="AI5" s="19" t="str">
        <x:v>Included</x:v>
      </x:c>
      <x:c r="AJ5" s="19" t="str">
        <x:v>Core</x:v>
      </x:c>
      <x:c r="AK5" s="19" t="str">
        <x:v>Exact</x:v>
      </x:c>
      <x:c r="AL5" s="19" t="str">
        <x:v>Self-selected review; support/billing complaint bias</x:v>
      </x:c>
      <x:c r="AM5" s="19" t="str">
        <x:v>Strong lock-in and cost-predictability signal</x:v>
      </x:c>
    </x:row>
    <x:row r="6" ht="78" customHeight="1">
      <x:c r="A6" s="19" t="str">
        <x:v>FB-ARE-20260815-000002</x:v>
      </x:c>
      <x:c r="B6" s="19" t="str">
        <x:v>Genspark</x:v>
      </x:c>
      <x:c r="C6" s="19" t="str">
        <x:v>A1 Direct</x:v>
      </x:c>
      <x:c r="D6" s="19" t="str">
        <x:v>Review platform</x:v>
      </x:c>
      <x:c r="E6" s="19" t="str">
        <x:v>Trustpilot</x:v>
      </x:c>
      <x:c r="F6" s="19" t="str">
        <x:v>https://ca.trustpilot.com/review/genspark.ai?page=3</x:v>
      </x:c>
      <x:c r="G6" s="19" t="str">
        <x:v>2026-08-15</x:v>
      </x:c>
      <x:c r="H6" s="19" t="str">
        <x:v>2026-09-03</x:v>
      </x:c>
      <x:c r="I6" s="19" t="str">
        <x:v>United Arab Emirates</x:v>
      </x:c>
      <x:c r="J6" s="19" t="str">
        <x:v>ARE</x:v>
      </x:c>
      <x:c r="K6" s="19" t="str">
        <x:v>High</x:v>
      </x:c>
      <x:c r="L6" s="19" t="str">
        <x:v>Profile displays AE; not independently verified</x:v>
      </x:c>
      <x:c r="M6" s="19" t="str">
        <x:v>en</x:v>
      </x:c>
      <x:c r="N6" s="19" t="str">
        <x:v>en</x:v>
      </x:c>
      <x:c r="O6" s="19" t="str">
        <x:v>Knowledge worker preparing management materials</x:v>
      </x:c>
      <x:c r="P6" s="19" t="str">
        <x:v>Unknown</x:v>
      </x:c>
      <x:c r="Q6" s="19" t="str">
        <x:v>Prepare top-management presentations under short deadlines</x:v>
      </x:c>
      <x:c r="R6" s="19" t="str">
        <x:v>Very short delivery window</x:v>
      </x:c>
      <x:c r="S6" s="19" t="str">
        <x:v>Templates; Super Agent; content modifications</x:v>
      </x:c>
      <x:c r="T6" s="19" t="str">
        <x:v>Management-ready presentation with relevant insights</x:v>
      </x:c>
      <x:c r="U6" s="19" t="str">
        <x:v>Presentation work became easier and less stressful</x:v>
      </x:c>
      <x:c r="V6" s="19" t="str">
        <x:v>Success</x:v>
      </x:c>
      <x:c r="W6" s="19" t="str"/>
      <x:c r="X6" s="19" t="str">
        <x:v>User still directs templates/content</x:v>
      </x:c>
      <x:c r="Y6" s="19" t="str">
        <x:v>Short timeframe; qualitative time saving</x:v>
      </x:c>
      <x:c r="Z6" s="19" t="str">
        <x:v>Low/unclear</x:v>
      </x:c>
      <x:c r="AA6" s="19" t="str">
        <x:v>Positive in stated workflow</x:v>
      </x:c>
      <x:c r="AB6" s="19" t="str">
        <x:v>User can modify content</x:v>
      </x:c>
      <x:c r="AC6" s="19" t="str">
        <x:v>Not mentioned</x:v>
      </x:c>
      <x:c r="AD6" s="19" t="str">
        <x:v>Not mentioned</x:v>
      </x:c>
      <x:c r="AE6" s="19" t="str">
        <x:v>Manual presentation preparation</x:v>
      </x:c>
      <x:c r="AF6" s="19" t="str">
        <x:v>Positive continued-use signal</x:v>
      </x:c>
      <x:c r="AG6" s="19" t="str">
        <x:v>Positive</x:v>
      </x:c>
      <x:c r="AH6" s="19" t="str">
        <x:v>[转述] Super Agent 帮助在短时限内完成高层演示</x:v>
      </x:c>
      <x:c r="AI6" s="19" t="str">
        <x:v>Included</x:v>
      </x:c>
      <x:c r="AJ6" s="19" t="str">
        <x:v>Core</x:v>
      </x:c>
      <x:c r="AK6" s="19" t="str">
        <x:v>Exact</x:v>
      </x:c>
      <x:c r="AL6" s="19" t="str">
        <x:v>Self-selected positive review</x:v>
      </x:c>
      <x:c r="AM6" s="19" t="str">
        <x:v>Strong JTBD and outcome coverage</x:v>
      </x:c>
    </x:row>
    <x:row r="7" ht="78" customHeight="1">
      <x:c r="A7" s="19" t="str">
        <x:v>FB-ARE-20260707-000003</x:v>
      </x:c>
      <x:c r="B7" s="19" t="str">
        <x:v>Genspark</x:v>
      </x:c>
      <x:c r="C7" s="19" t="str">
        <x:v>A1 Direct</x:v>
      </x:c>
      <x:c r="D7" s="19" t="str">
        <x:v>Review platform</x:v>
      </x:c>
      <x:c r="E7" s="19" t="str">
        <x:v>Trustpilot</x:v>
      </x:c>
      <x:c r="F7" s="19" t="str">
        <x:v>https://uk.trustpilot.com/review/genspark.ai?page=7</x:v>
      </x:c>
      <x:c r="G7" s="19" t="str">
        <x:v>2026-07-07</x:v>
      </x:c>
      <x:c r="H7" s="19" t="str">
        <x:v>2026-09-03</x:v>
      </x:c>
      <x:c r="I7" s="19" t="str">
        <x:v>United Arab Emirates</x:v>
      </x:c>
      <x:c r="J7" s="19" t="str">
        <x:v>ARE</x:v>
      </x:c>
      <x:c r="K7" s="19" t="str">
        <x:v>High</x:v>
      </x:c>
      <x:c r="L7" s="19" t="str">
        <x:v>Profile displays AE; not independently verified</x:v>
      </x:c>
      <x:c r="M7" s="19" t="str">
        <x:v>en</x:v>
      </x:c>
      <x:c r="N7" s="19" t="str">
        <x:v>en</x:v>
      </x:c>
      <x:c r="O7" s="19" t="str">
        <x:v>Startup founder / solopreneur</x:v>
      </x:c>
      <x:c r="P7" s="19" t="str">
        <x:v>Solo</x:v>
      </x:c>
      <x:c r="Q7" s="19" t="str">
        <x:v>Run presentations, spreadsheets, CRM dashboards and content in one workspace</x:v>
      </x:c>
      <x:c r="R7" s="19" t="str">
        <x:v>Founder must wear multiple hats</x:v>
      </x:c>
      <x:c r="S7" s="19" t="str">
        <x:v>Presentations; spreadsheets; CRM dashboards; content tools</x:v>
      </x:c>
      <x:c r="T7" s="19" t="str">
        <x:v>Consolidated daily operating workspace</x:v>
      </x:c>
      <x:c r="U7" s="19" t="str">
        <x:v>Became part of daily workflow and covered creative work too</x:v>
      </x:c>
      <x:c r="V7" s="19" t="str">
        <x:v>Success</x:v>
      </x:c>
      <x:c r="W7" s="19" t="str"/>
      <x:c r="X7" s="19" t="str">
        <x:v>User orchestrates multiple tasks</x:v>
      </x:c>
      <x:c r="Y7" s="19" t="str">
        <x:v>Works faster/smarter (qualitative)</x:v>
      </x:c>
      <x:c r="Z7" s="19" t="str">
        <x:v>Unknown</x:v>
      </x:c>
      <x:c r="AA7" s="19" t="str">
        <x:v>Positive over sustained use</x:v>
      </x:c>
      <x:c r="AB7" s="19" t="str">
        <x:v>Not mentioned</x:v>
      </x:c>
      <x:c r="AC7" s="19" t="str">
        <x:v>Not mentioned</x:v>
      </x:c>
      <x:c r="AD7" s="19" t="str">
        <x:v>Paid subscription</x:v>
      </x:c>
      <x:c r="AE7" s="19" t="str">
        <x:v>Higgsfield and separate tools</x:v>
      </x:c>
      <x:c r="AF7" s="19" t="str">
        <x:v>Cancelled Higgsfield; Genspark retained</x:v>
      </x:c>
      <x:c r="AG7" s="19" t="str">
        <x:v>Positive</x:v>
      </x:c>
      <x:c r="AH7" s="19" t="str">
        <x:v>[转述] 创始人用它统一演示、表格、CRM 与内容工作</x:v>
      </x:c>
      <x:c r="AI7" s="19" t="str">
        <x:v>Included</x:v>
      </x:c>
      <x:c r="AJ7" s="19" t="str">
        <x:v>Core</x:v>
      </x:c>
      <x:c r="AK7" s="19" t="str">
        <x:v>Exact</x:v>
      </x:c>
      <x:c r="AL7" s="19" t="str">
        <x:v>Self-selected positive review</x:v>
      </x:c>
      <x:c r="AM7" s="19" t="str">
        <x:v>Best role/company-size/workflow sample in pilot</x:v>
      </x:c>
    </x:row>
    <x:row r="8" ht="78" customHeight="1">
      <x:c r="A8" s="19" t="str">
        <x:v>FB-ARE-20260419-000004</x:v>
      </x:c>
      <x:c r="B8" s="19" t="str">
        <x:v>Genspark</x:v>
      </x:c>
      <x:c r="C8" s="19" t="str">
        <x:v>A1 Direct</x:v>
      </x:c>
      <x:c r="D8" s="19" t="str">
        <x:v>Review platform</x:v>
      </x:c>
      <x:c r="E8" s="19" t="str">
        <x:v>Trustpilot</x:v>
      </x:c>
      <x:c r="F8" s="19" t="str">
        <x:v>https://uk.trustpilot.com/review/genspark.ai?page=9</x:v>
      </x:c>
      <x:c r="G8" s="19" t="str">
        <x:v>2026-04-19</x:v>
      </x:c>
      <x:c r="H8" s="19" t="str">
        <x:v>2026-09-03</x:v>
      </x:c>
      <x:c r="I8" s="19" t="str">
        <x:v>United Arab Emirates</x:v>
      </x:c>
      <x:c r="J8" s="19" t="str">
        <x:v>ARE</x:v>
      </x:c>
      <x:c r="K8" s="19" t="str">
        <x:v>High</x:v>
      </x:c>
      <x:c r="L8" s="19" t="str">
        <x:v>Profile displays AE; not independently verified</x:v>
      </x:c>
      <x:c r="M8" s="19" t="str">
        <x:v>en</x:v>
      </x:c>
      <x:c r="N8" s="19" t="str">
        <x:v>en</x:v>
      </x:c>
      <x:c r="O8" s="19" t="str">
        <x:v>Design/production user</x:v>
      </x:c>
      <x:c r="P8" s="19" t="str">
        <x:v>Unknown</x:v>
      </x:c>
      <x:c r="Q8" s="19" t="str">
        <x:v>Package designs in a ZIP and create a transparent-background logo</x:v>
      </x:c>
      <x:c r="R8" s="19" t="str">
        <x:v>Need downloadable production assets</x:v>
      </x:c>
      <x:c r="S8" s="19" t="str">
        <x:v>Design files; image/logo generation</x:v>
      </x:c>
      <x:c r="T8" s="19" t="str">
        <x:v>Working ZIP link and transparent PNG/logo</x:v>
      </x:c>
      <x:c r="U8" s="19" t="str">
        <x:v>No ZIP link after retries; logo background was not transparent</x:v>
      </x:c>
      <x:c r="V8" s="19" t="str">
        <x:v>Failed</x:v>
      </x:c>
      <x:c r="W8" s="19" t="str">
        <x:v>Artifact generation / export</x:v>
      </x:c>
      <x:c r="X8" s="19" t="str">
        <x:v>Multiple retries and verification</x:v>
      </x:c>
      <x:c r="Y8" s="19" t="str">
        <x:v>Time wasted across retries</x:v>
      </x:c>
      <x:c r="Z8" s="19" t="str">
        <x:v>Prompting was not enough to fix output</x:v>
      </x:c>
      <x:c r="AA8" s="19" t="str">
        <x:v>Low for serious production use</x:v>
      </x:c>
      <x:c r="AB8" s="19" t="str">
        <x:v>System admitted limitation only after attempts</x:v>
      </x:c>
      <x:c r="AC8" s="19" t="str">
        <x:v>Trust reduced by late disclosure</x:v>
      </x:c>
      <x:c r="AD8" s="19" t="str">
        <x:v>Credits consumed despite failure</x:v>
      </x:c>
      <x:c r="AE8" s="19" t="str">
        <x:v>Dedicated design/file tools (implicit)</x:v>
      </x:c>
      <x:c r="AF8" s="19" t="str">
        <x:v>Would not recommend</x:v>
      </x:c>
      <x:c r="AG8" s="19" t="str">
        <x:v>Negative</x:v>
      </x:c>
      <x:c r="AH8" s="19" t="str">
        <x:v>[转述] ZIP 与透明 logo 任务失败，过程中持续扣积分</x:v>
      </x:c>
      <x:c r="AI8" s="19" t="str">
        <x:v>Included</x:v>
      </x:c>
      <x:c r="AJ8" s="19" t="str">
        <x:v>Core</x:v>
      </x:c>
      <x:c r="AK8" s="19" t="str">
        <x:v>Exact</x:v>
      </x:c>
      <x:c r="AL8" s="19" t="str">
        <x:v>Self-selected negative review</x:v>
      </x:c>
      <x:c r="AM8" s="19" t="str">
        <x:v>Best failure-stage example</x:v>
      </x:c>
    </x:row>
    <x:row r="9" ht="78" customHeight="1">
      <x:c r="A9" s="19" t="str">
        <x:v>FB-ARE-20260804-000005</x:v>
      </x:c>
      <x:c r="B9" s="19" t="str">
        <x:v>Genspark</x:v>
      </x:c>
      <x:c r="C9" s="19" t="str">
        <x:v>A1 Direct</x:v>
      </x:c>
      <x:c r="D9" s="19" t="str">
        <x:v>Review platform</x:v>
      </x:c>
      <x:c r="E9" s="19" t="str">
        <x:v>Trustpilot</x:v>
      </x:c>
      <x:c r="F9" s="19" t="str">
        <x:v>https://www.trustpilot.com/review/genspark.ai?page=4</x:v>
      </x:c>
      <x:c r="G9" s="19" t="str">
        <x:v>2026-08-04</x:v>
      </x:c>
      <x:c r="H9" s="19" t="str">
        <x:v>2026-09-03</x:v>
      </x:c>
      <x:c r="I9" s="19" t="str">
        <x:v>United Arab Emirates</x:v>
      </x:c>
      <x:c r="J9" s="19" t="str">
        <x:v>ARE</x:v>
      </x:c>
      <x:c r="K9" s="19" t="str">
        <x:v>High</x:v>
      </x:c>
      <x:c r="L9" s="19" t="str">
        <x:v>Profile displays AE; not independently verified</x:v>
      </x:c>
      <x:c r="M9" s="19" t="str">
        <x:v>en</x:v>
      </x:c>
      <x:c r="N9" s="19" t="str">
        <x:v>en</x:v>
      </x:c>
      <x:c r="O9" s="19" t="str">
        <x:v>Unknown</x:v>
      </x:c>
      <x:c r="P9" s="19" t="str">
        <x:v>Unknown</x:v>
      </x:c>
      <x:c r="Q9" s="19" t="str">
        <x:v>Resolve a credits dispute</x:v>
      </x:c>
      <x:c r="R9" s="19" t="str">
        <x:v>Credit complaint</x:v>
      </x:c>
      <x:c r="S9" s="19" t="str">
        <x:v>Support channel; credit ledger</x:v>
      </x:c>
      <x:c r="T9" s="19" t="str">
        <x:v>Investigation and fair refund</x:v>
      </x:c>
      <x:c r="U9" s="19" t="str">
        <x:v>Complaint investigated and refunded appropriately</x:v>
      </x:c>
      <x:c r="V9" s="19" t="str">
        <x:v>Success</x:v>
      </x:c>
      <x:c r="W9" s="19" t="str">
        <x:v>Commercial/support system</x:v>
      </x:c>
      <x:c r="X9" s="19" t="str">
        <x:v>Contact support</x:v>
      </x:c>
      <x:c r="Y9" s="19" t="str">
        <x:v>Not stated</x:v>
      </x:c>
      <x:c r="Z9" s="19" t="str">
        <x:v>Not stated</x:v>
      </x:c>
      <x:c r="AA9" s="19" t="str">
        <x:v>Support outcome positive</x:v>
      </x:c>
      <x:c r="AB9" s="19" t="str">
        <x:v>Dispute handled case-by-case</x:v>
      </x:c>
      <x:c r="AC9" s="19" t="str">
        <x:v>Trust improved by resolution</x:v>
      </x:c>
      <x:c r="AD9" s="19" t="str">
        <x:v>Credits disputed then refunded</x:v>
      </x:c>
      <x:c r="AE9" s="19" t="str">
        <x:v>Unknown</x:v>
      </x:c>
      <x:c r="AF9" s="19" t="str">
        <x:v>Continues to enjoy product</x:v>
      </x:c>
      <x:c r="AG9" s="19" t="str">
        <x:v>Positive</x:v>
      </x:c>
      <x:c r="AH9" s="19" t="str">
        <x:v>[转述] credits 争议得到调查与退款</x:v>
      </x:c>
      <x:c r="AI9" s="19" t="str">
        <x:v>Included</x:v>
      </x:c>
      <x:c r="AJ9" s="19" t="str">
        <x:v>Adjacent</x:v>
      </x:c>
      <x:c r="AK9" s="19" t="str">
        <x:v>Exact</x:v>
      </x:c>
      <x:c r="AL9" s="19" t="str">
        <x:v>Task use vague; service-resolution signal only</x:v>
      </x:c>
      <x:c r="AM9" s="19" t="str">
        <x:v>Useful for support system, not core JTBD</x:v>
      </x:c>
    </x:row>
    <x:row r="10" ht="78" customHeight="1">
      <x:c r="A10" s="19" t="str">
        <x:v>FB-ARE-20260722-000006</x:v>
      </x:c>
      <x:c r="B10" s="19" t="str">
        <x:v>Perplexity</x:v>
      </x:c>
      <x:c r="C10" s="19" t="str">
        <x:v>A2 Adjacent</x:v>
      </x:c>
      <x:c r="D10" s="19" t="str">
        <x:v>Review platform</x:v>
      </x:c>
      <x:c r="E10" s="19" t="str">
        <x:v>Trustpilot</x:v>
      </x:c>
      <x:c r="F10" s="19" t="str">
        <x:v>https://www.trustpilot.com/review/www.perplexity.ai?page=3</x:v>
      </x:c>
      <x:c r="G10" s="19" t="str">
        <x:v>2026-07-22</x:v>
      </x:c>
      <x:c r="H10" s="19" t="str">
        <x:v>2026-09-03</x:v>
      </x:c>
      <x:c r="I10" s="19" t="str">
        <x:v>United Arab Emirates</x:v>
      </x:c>
      <x:c r="J10" s="19" t="str">
        <x:v>ARE</x:v>
      </x:c>
      <x:c r="K10" s="19" t="str">
        <x:v>High</x:v>
      </x:c>
      <x:c r="L10" s="19" t="str">
        <x:v>Profile displays AE; not independently verified</x:v>
      </x:c>
      <x:c r="M10" s="19" t="str">
        <x:v>en</x:v>
      </x:c>
      <x:c r="N10" s="19" t="str">
        <x:v>en</x:v>
      </x:c>
      <x:c r="O10" s="19" t="str">
        <x:v>Paid subscriber</x:v>
      </x:c>
      <x:c r="P10" s="19" t="str">
        <x:v>Unknown</x:v>
      </x:c>
      <x:c r="Q10" s="19" t="str">
        <x:v>Cancel subscription and stop/resolve charges</x:v>
      </x:c>
      <x:c r="R10" s="19" t="str">
        <x:v>Cancellation in May 2026</x:v>
      </x:c>
      <x:c r="S10" s="19" t="str">
        <x:v>Email support; billing account</x:v>
      </x:c>
      <x:c r="T10" s="19" t="str">
        <x:v>No further charge and a refund</x:v>
      </x:c>
      <x:c r="U10" s="19" t="str">
        <x:v>Charged in subsequent months; no human follow-up</x:v>
      </x:c>
      <x:c r="V10" s="19" t="str">
        <x:v>Failed</x:v>
      </x:c>
      <x:c r="W10" s="19" t="str">
        <x:v>Billing / human support</x:v>
      </x:c>
      <x:c r="X10" s="19" t="str">
        <x:v>Repeated support emails</x:v>
      </x:c>
      <x:c r="Y10" s="19" t="str">
        <x:v>Repeated 48-hour promises; still unresolved after days</x:v>
      </x:c>
      <x:c r="Z10" s="19" t="str">
        <x:v>No phone escalation</x:v>
      </x:c>
      <x:c r="AA10" s="19" t="str">
        <x:v>Low for cancellation flow</x:v>
      </x:c>
      <x:c r="AB10" s="19" t="str">
        <x:v>Cancellation did not stop charges</x:v>
      </x:c>
      <x:c r="AC10" s="19" t="str">
        <x:v>Trust severely damaged</x:v>
      </x:c>
      <x:c r="AD10" s="19" t="str">
        <x:v>Multiple post-cancellation monthly charges</x:v>
      </x:c>
      <x:c r="AE10" s="19" t="str">
        <x:v>Unknown</x:v>
      </x:c>
      <x:c r="AF10" s="19" t="str">
        <x:v>Cancelled subscription</x:v>
      </x:c>
      <x:c r="AG10" s="19" t="str">
        <x:v>Negative</x:v>
      </x:c>
      <x:c r="AH10" s="19" t="str">
        <x:v>[转述] 取消后仍连续扣费，且无法获得人工支持</x:v>
      </x:c>
      <x:c r="AI10" s="19" t="str">
        <x:v>Included</x:v>
      </x:c>
      <x:c r="AJ10" s="19" t="str">
        <x:v>Adjacent</x:v>
      </x:c>
      <x:c r="AK10" s="19" t="str">
        <x:v>Exact</x:v>
      </x:c>
      <x:c r="AL10" s="19" t="str">
        <x:v>Billing complaint; not Comet/Cowork task</x:v>
      </x:c>
      <x:c r="AM10" s="19" t="str">
        <x:v>Keep separate from core feature conclusions</x:v>
      </x:c>
    </x:row>
    <x:row r="11" ht="78" customHeight="1">
      <x:c r="A11" s="19" t="str">
        <x:v>FB-ARE-20250912-000008</x:v>
      </x:c>
      <x:c r="B11" s="19" t="str">
        <x:v>Perplexity Comet</x:v>
      </x:c>
      <x:c r="C11" s="19" t="str">
        <x:v>A1 Direct</x:v>
      </x:c>
      <x:c r="D11" s="19" t="str">
        <x:v>Community</x:v>
      </x:c>
      <x:c r="E11" s="19" t="str">
        <x:v>Reddit</x:v>
      </x:c>
      <x:c r="F11" s="19" t="str">
        <x:v>https://www.reddit.com/r/perplexity_ai/comments/1nf6r5e/comet_browser_the_automatic_ai_browser_from/</x:v>
      </x:c>
      <x:c r="G11" s="19" t="str">
        <x:v>2025-09-12</x:v>
      </x:c>
      <x:c r="H11" s="19" t="str">
        <x:v>2026-09-03</x:v>
      </x:c>
      <x:c r="I11" s="19" t="str">
        <x:v>Dubai, United Arab Emirates</x:v>
      </x:c>
      <x:c r="J11" s="19" t="str">
        <x:v>ARE</x:v>
      </x:c>
      <x:c r="K11" s="19" t="str">
        <x:v>High</x:v>
      </x:c>
      <x:c r="L11" s="19" t="str">
        <x:v>Body explicitly states residence in Dubai</x:v>
      </x:c>
      <x:c r="M11" s="19" t="str">
        <x:v>en</x:v>
      </x:c>
      <x:c r="N11" s="19" t="str">
        <x:v>en</x:v>
      </x:c>
      <x:c r="O11" s="19" t="str">
        <x:v>AI power user / consumer researcher</x:v>
      </x:c>
      <x:c r="P11" s="19" t="str">
        <x:v>Individual</x:v>
      </x:c>
      <x:c r="Q11" s="19" t="str">
        <x:v>Automate daily browser work, email and local shopping research</x:v>
      </x:c>
      <x:c r="R11" s="19" t="str">
        <x:v>Repeated manual online tasks</x:v>
      </x:c>
      <x:c r="S11" s="19" t="str">
        <x:v>Email; room size; Dubai weather; e-commerce sites; sale dates</x:v>
      </x:c>
      <x:c r="T11" s="19" t="str">
        <x:v>Shortlist best air-conditioner deal and automate routine actions</x:v>
      </x:c>
      <x:c r="U11" s="19" t="str">
        <x:v>Comet combined personal/local constraints and supported the decision</x:v>
      </x:c>
      <x:c r="V11" s="19" t="str">
        <x:v>Success</x:v>
      </x:c>
      <x:c r="W11" s="19" t="str"/>
      <x:c r="X11" s="19" t="str">
        <x:v>User supplies context and validates purchase</x:v>
      </x:c>
      <x:c r="Y11" s="19" t="str">
        <x:v>Qualitative reduction in manual work</x:v>
      </x:c>
      <x:c r="Z11" s="19" t="str">
        <x:v>Not stated</x:v>
      </x:c>
      <x:c r="AA11" s="19" t="str">
        <x:v>Positive in described workflows</x:v>
      </x:c>
      <x:c r="AB11" s="19" t="str">
        <x:v>User remains decision maker</x:v>
      </x:c>
      <x:c r="AC11" s="19" t="str">
        <x:v>Email access implied; concern not stated</x:v>
      </x:c>
      <x:c r="AD11" s="19" t="str">
        <x:v>One subscription replaced several</x:v>
      </x:c>
      <x:c r="AE11" s="19" t="str">
        <x:v>Other AI subscriptions; Gemini retained</x:v>
      </x:c>
      <x:c r="AF11" s="19" t="str">
        <x:v>Cancelled almost all other AI subscriptions</x:v>
      </x:c>
      <x:c r="AG11" s="19" t="str">
        <x:v>Positive</x:v>
      </x:c>
      <x:c r="AH11" s="19" t="str">
        <x:v>[转述] Dubai 用户用 Comet 自动化邮件与本地购物研究</x:v>
      </x:c>
      <x:c r="AI11" s="19" t="str">
        <x:v>Included</x:v>
      </x:c>
      <x:c r="AJ11" s="19" t="str">
        <x:v>Core</x:v>
      </x:c>
      <x:c r="AK11" s="19" t="str">
        <x:v>Exact</x:v>
      </x:c>
      <x:c r="AL11" s="19" t="str">
        <x:v>Community self-selection; single rich case</x:v>
      </x:c>
      <x:c r="AM11" s="19" t="str">
        <x:v>Best end-to-end local-context sample</x:v>
      </x:c>
    </x:row>
    <x:row r="12" ht="78" customHeight="1">
      <x:c r="A12" s="19" t="str">
        <x:v>FB-ARE-20260000-000010</x:v>
      </x:c>
      <x:c r="B12" s="19" t="str">
        <x:v>Genspark</x:v>
      </x:c>
      <x:c r="C12" s="19" t="str">
        <x:v>A1 Direct</x:v>
      </x:c>
      <x:c r="D12" s="19" t="str">
        <x:v>App-store review</x:v>
      </x:c>
      <x:c r="E12" s="19" t="str">
        <x:v>Apple App Store</x:v>
      </x:c>
      <x:c r="F12" s="19" t="str">
        <x:v>https://apps.apple.com/ae/app/genspark-ai-workspace/id6739554054?platform=iphone&amp;see-all=reviews</x:v>
      </x:c>
      <x:c r="G12" s="19" t="str"/>
      <x:c r="H12" s="19" t="str">
        <x:v>2026-09-03</x:v>
      </x:c>
      <x:c r="I12" s="19" t="str">
        <x:v>UAE hypothesis pool</x:v>
      </x:c>
      <x:c r="J12" s="19" t="str">
        <x:v>ARE</x:v>
      </x:c>
      <x:c r="K12" s="19" t="str">
        <x:v>Low</x:v>
      </x:c>
      <x:c r="L12" s="19" t="str">
        <x:v>AE storefront only</x:v>
      </x:c>
      <x:c r="M12" s="19" t="str">
        <x:v>en</x:v>
      </x:c>
      <x:c r="N12" s="19" t="str">
        <x:v>en</x:v>
      </x:c>
      <x:c r="O12" s="19" t="str">
        <x:v>Annual subscriber</x:v>
      </x:c>
      <x:c r="P12" s="19" t="str">
        <x:v>Unknown</x:v>
      </x:c>
      <x:c r="Q12" s="19" t="str">
        <x:v>Create images, PPT, music and designed assets</x:v>
      </x:c>
      <x:c r="R12" s="19" t="str">
        <x:v>Purchased annual subscription</x:v>
      </x:c>
      <x:c r="S12" s="19" t="str">
        <x:v>AI Designer; AI Slides; chat; monthly credits</x:v>
      </x:c>
      <x:c r="T12" s="19" t="str">
        <x:v>Use paid creative features throughout subscription</x:v>
      </x:c>
      <x:c r="U12" s="19" t="str">
        <x:v>Creative tools useful but quickly constrained by monthly credits</x:v>
      </x:c>
      <x:c r="V12" s="19" t="str">
        <x:v>Partial</x:v>
      </x:c>
      <x:c r="W12" s="19" t="str">
        <x:v>Usage quota / expectation setting</x:v>
      </x:c>
      <x:c r="X12" s="19" t="str">
        <x:v>Must wait/buy more credits or fall back to chat</x:v>
      </x:c>
      <x:c r="Y12" s="19" t="str">
        <x:v>Monthly reset dependency</x:v>
      </x:c>
      <x:c r="Z12" s="19" t="str">
        <x:v>Plan limits were not understood at purchase</x:v>
      </x:c>
      <x:c r="AA12" s="19" t="str">
        <x:v>Feature capability positive; access constrained</x:v>
      </x:c>
      <x:c r="AB12" s="19" t="str">
        <x:v>Low visibility into plan limits</x:v>
      </x:c>
      <x:c r="AC12" s="19" t="str">
        <x:v>Not mentioned</x:v>
      </x:c>
      <x:c r="AD12" s="19" t="str">
        <x:v>Annual payment plus monthly credit cap</x:v>
      </x:c>
      <x:c r="AE12" s="19" t="str">
        <x:v>Chat-only mode</x:v>
      </x:c>
      <x:c r="AF12" s="19" t="str">
        <x:v>Disappointed; churn unclear</x:v>
      </x:c>
      <x:c r="AG12" s="19" t="str">
        <x:v>Negative</x:v>
      </x:c>
      <x:c r="AH12" s="19" t="str">
        <x:v>[转述] 年订阅后才发现图片、PPT、音乐仍受积分限制</x:v>
      </x:c>
      <x:c r="AI12" s="19" t="str">
        <x:v>Hypothesis only</x:v>
      </x:c>
      <x:c r="AJ12" s="19" t="str">
        <x:v>Core</x:v>
      </x:c>
      <x:c r="AK12" s="19" t="str">
        <x:v>Year unknown</x:v>
      </x:c>
      <x:c r="AL12" s="19" t="str">
        <x:v>AE storefront does not prove reviewer country</x:v>
      </x:c>
      <x:c r="AM12" s="19" t="str">
        <x:v>Do not use in UAE prevalence calculations without stronger geo</x:v>
      </x:c>
    </x:row>
    <x:row r="13" ht="78" customHeight="1">
      <x:c r="A13" s="19" t="str">
        <x:v>FB-ARE-20260000-000011</x:v>
      </x:c>
      <x:c r="B13" s="19" t="str">
        <x:v>Genspark</x:v>
      </x:c>
      <x:c r="C13" s="19" t="str">
        <x:v>A1 Direct</x:v>
      </x:c>
      <x:c r="D13" s="19" t="str">
        <x:v>App-store review</x:v>
      </x:c>
      <x:c r="E13" s="19" t="str">
        <x:v>Apple App Store</x:v>
      </x:c>
      <x:c r="F13" s="19" t="str">
        <x:v>https://apps.apple.com/ae/app/genspark-ai-workspace/id6739554054?platform=iphone&amp;see-all=reviews</x:v>
      </x:c>
      <x:c r="G13" s="19" t="str"/>
      <x:c r="H13" s="19" t="str">
        <x:v>2026-09-03</x:v>
      </x:c>
      <x:c r="I13" s="19" t="str">
        <x:v>Possible Dubai</x:v>
      </x:c>
      <x:c r="J13" s="19" t="str">
        <x:v>ARE</x:v>
      </x:c>
      <x:c r="K13" s="19" t="str">
        <x:v>Medium</x:v>
      </x:c>
      <x:c r="L13" s="19" t="str">
        <x:v>AE storefront + 'dxb' in alias; unverified</x:v>
      </x:c>
      <x:c r="M13" s="19" t="str">
        <x:v>en</x:v>
      </x:c>
      <x:c r="N13" s="19" t="str">
        <x:v>en</x:v>
      </x:c>
      <x:c r="O13" s="19" t="str">
        <x:v>General AI assistant user</x:v>
      </x:c>
      <x:c r="P13" s="19" t="str">
        <x:v>Individual</x:v>
      </x:c>
      <x:c r="Q13" s="19" t="str">
        <x:v>Use a general AI assistant for single questions</x:v>
      </x:c>
      <x:c r="R13" s="19" t="str">
        <x:v>Trying Genspark as assistant</x:v>
      </x:c>
      <x:c r="S13" s="19" t="str">
        <x:v>Mobile app; prompts; tokens</x:v>
      </x:c>
      <x:c r="T13" s="19" t="str">
        <x:v>Easy, predictable assistant interaction</x:v>
      </x:c>
      <x:c r="U13" s="19" t="str">
        <x:v>Difficult to use and tokens consumed for each question</x:v>
      </x:c>
      <x:c r="V13" s="19" t="str">
        <x:v>Failed</x:v>
      </x:c>
      <x:c r="W13" s="19" t="str">
        <x:v>Interaction / cost</x:v>
      </x:c>
      <x:c r="X13" s="19" t="str">
        <x:v>User considers switching tool</x:v>
      </x:c>
      <x:c r="Y13" s="19" t="str">
        <x:v>Not stated</x:v>
      </x:c>
      <x:c r="Z13" s="19" t="str">
        <x:v>High</x:v>
      </x:c>
      <x:c r="AA13" s="19" t="str">
        <x:v>Perceived low value</x:v>
      </x:c>
      <x:c r="AB13" s="19" t="str">
        <x:v>Token spend lacks predictability</x:v>
      </x:c>
      <x:c r="AC13" s="19" t="str">
        <x:v>Not mentioned</x:v>
      </x:c>
      <x:c r="AD13" s="19" t="str">
        <x:v>Every question consumes tokens</x:v>
      </x:c>
      <x:c r="AE13" s="19" t="str">
        <x:v>ChatGPT</x:v>
      </x:c>
      <x:c r="AF13" s="19" t="str">
        <x:v>Explicit preference for ChatGPT</x:v>
      </x:c>
      <x:c r="AG13" s="19" t="str">
        <x:v>Negative</x:v>
      </x:c>
      <x:c r="AH13" s="19" t="str">
        <x:v>[转述] 难上手、每次提问都耗 token，倾向改用 ChatGPT</x:v>
      </x:c>
      <x:c r="AI13" s="19" t="str">
        <x:v>Hypothesis only</x:v>
      </x:c>
      <x:c r="AJ13" s="19" t="str">
        <x:v>Core</x:v>
      </x:c>
      <x:c r="AK13" s="19" t="str">
        <x:v>Year unknown</x:v>
      </x:c>
      <x:c r="AL13" s="19" t="str">
        <x:v>Alias is weak geo evidence</x:v>
      </x:c>
      <x:c r="AM13" s="19" t="str">
        <x:v>Useful onboarding+price theme; medium is still non-core geo</x:v>
      </x:c>
    </x:row>
    <x:row r="14" ht="78" customHeight="1">
      <x:c r="A14" s="19" t="str">
        <x:v>FB-ARE-20260000-000012</x:v>
      </x:c>
      <x:c r="B14" s="19" t="str">
        <x:v>Genspark</x:v>
      </x:c>
      <x:c r="C14" s="19" t="str">
        <x:v>A1 Direct</x:v>
      </x:c>
      <x:c r="D14" s="19" t="str">
        <x:v>App-store review</x:v>
      </x:c>
      <x:c r="E14" s="19" t="str">
        <x:v>Apple App Store</x:v>
      </x:c>
      <x:c r="F14" s="19" t="str">
        <x:v>https://apps.apple.com/ae/app/genspark-ai-workspace/id6739554054?platform=iphone&amp;see-all=reviews</x:v>
      </x:c>
      <x:c r="G14" s="19" t="str"/>
      <x:c r="H14" s="19" t="str">
        <x:v>2026-09-03</x:v>
      </x:c>
      <x:c r="I14" s="19" t="str">
        <x:v>UAE hypothesis pool</x:v>
      </x:c>
      <x:c r="J14" s="19" t="str">
        <x:v>ARE</x:v>
      </x:c>
      <x:c r="K14" s="19" t="str">
        <x:v>Low</x:v>
      </x:c>
      <x:c r="L14" s="19" t="str">
        <x:v>AE storefront only</x:v>
      </x:c>
      <x:c r="M14" s="19" t="str">
        <x:v>en</x:v>
      </x:c>
      <x:c r="N14" s="19" t="str">
        <x:v>en</x:v>
      </x:c>
      <x:c r="O14" s="19" t="str">
        <x:v>Recent purchaser</x:v>
      </x:c>
      <x:c r="P14" s="19" t="str">
        <x:v>Unknown</x:v>
      </x:c>
      <x:c r="Q14" s="19" t="str">
        <x:v>Continue using purchased AI workspace</x:v>
      </x:c>
      <x:c r="R14" s="19" t="str">
        <x:v>Within first month of purchase</x:v>
      </x:c>
      <x:c r="S14" s="19" t="str">
        <x:v>Paid mobile app</x:v>
      </x:c>
      <x:c r="T14" s="19" t="str">
        <x:v>Service remains usable during paid period</x:v>
      </x:c>
      <x:c r="U14" s="19" t="str">
        <x:v>App stopped working before one month elapsed</x:v>
      </x:c>
      <x:c r="V14" s="19" t="str">
        <x:v>Failed</x:v>
      </x:c>
      <x:c r="W14" s="19" t="str">
        <x:v>Access / service availability</x:v>
      </x:c>
      <x:c r="X14" s="19" t="str">
        <x:v>None described</x:v>
      </x:c>
      <x:c r="Y14" s="19" t="str">
        <x:v>Failure within first month</x:v>
      </x:c>
      <x:c r="Z14" s="19" t="str">
        <x:v>Not mentioned</x:v>
      </x:c>
      <x:c r="AA14" s="19" t="str">
        <x:v>Low</x:v>
      </x:c>
      <x:c r="AB14" s="19" t="str">
        <x:v>Unable to restore access</x:v>
      </x:c>
      <x:c r="AC14" s="19" t="str">
        <x:v>Feels fraudulent to reviewer</x:v>
      </x:c>
      <x:c r="AD14" s="19" t="str">
        <x:v>Paid period not delivered</x:v>
      </x:c>
      <x:c r="AE14" s="19" t="str">
        <x:v>Stop using</x:v>
      </x:c>
      <x:c r="AF14" s="19" t="str">
        <x:v>Explicit churn</x:v>
      </x:c>
      <x:c r="AG14" s="19" t="str">
        <x:v>Negative</x:v>
      </x:c>
      <x:c r="AH14" s="19" t="str">
        <x:v>[转述] 购买不到一个月即无法使用，并决定停用</x:v>
      </x:c>
      <x:c r="AI14" s="19" t="str">
        <x:v>Hypothesis only</x:v>
      </x:c>
      <x:c r="AJ14" s="19" t="str">
        <x:v>Core</x:v>
      </x:c>
      <x:c r="AK14" s="19" t="str">
        <x:v>Year unknown</x:v>
      </x:c>
      <x:c r="AL14" s="19" t="str">
        <x:v>AE storefront does not prove reviewer country</x:v>
      </x:c>
      <x:c r="AM14" s="19" t="str">
        <x:v>Strong paid-access churn theme</x:v>
      </x:c>
    </x:row>
    <x:row r="15" ht="78" customHeight="1">
      <x:c r="A15" s="19" t="str">
        <x:v>FB-ARE-20260000-000013</x:v>
      </x:c>
      <x:c r="B15" s="19" t="str">
        <x:v>Genspark</x:v>
      </x:c>
      <x:c r="C15" s="19" t="str">
        <x:v>A1 Direct</x:v>
      </x:c>
      <x:c r="D15" s="19" t="str">
        <x:v>App-store review</x:v>
      </x:c>
      <x:c r="E15" s="19" t="str">
        <x:v>Apple App Store</x:v>
      </x:c>
      <x:c r="F15" s="19" t="str">
        <x:v>https://apps.apple.com/ae/app/genspark-ai-workspace/id6739554054?platform=iphone&amp;see-all=reviews</x:v>
      </x:c>
      <x:c r="G15" s="19" t="str"/>
      <x:c r="H15" s="19" t="str">
        <x:v>2026-09-03</x:v>
      </x:c>
      <x:c r="I15" s="19" t="str">
        <x:v>Possible UAE</x:v>
      </x:c>
      <x:c r="J15" s="19" t="str">
        <x:v>ARE</x:v>
      </x:c>
      <x:c r="K15" s="19" t="str">
        <x:v>Medium</x:v>
      </x:c>
      <x:c r="L15" s="19" t="str">
        <x:v>AE storefront + 'uae' in alias; unverified</x:v>
      </x:c>
      <x:c r="M15" s="19" t="str">
        <x:v>en/ar</x:v>
      </x:c>
      <x:c r="N15" s="19" t="str">
        <x:v>en</x:v>
      </x:c>
      <x:c r="O15" s="19" t="str">
        <x:v>Arabic-language user</x:v>
      </x:c>
      <x:c r="P15" s="19" t="str">
        <x:v>Unknown</x:v>
      </x:c>
      <x:c r="Q15" s="19" t="str">
        <x:v>Produce accurate Arabic-language output</x:v>
      </x:c>
      <x:c r="R15" s="19" t="str">
        <x:v>Arabic use</x:v>
      </x:c>
      <x:c r="S15" s="19" t="str">
        <x:v>Arabic prompts/output</x:v>
      </x:c>
      <x:c r="T15" s="19" t="str">
        <x:v>Correct Arabic output at acceptable price</x:v>
      </x:c>
      <x:c r="U15" s="19" t="str">
        <x:v>Many Arabic-language mistakes</x:v>
      </x:c>
      <x:c r="V15" s="19" t="str">
        <x:v>Failed</x:v>
      </x:c>
      <x:c r="W15" s="19" t="str">
        <x:v>Localization / output quality</x:v>
      </x:c>
      <x:c r="X15" s="19" t="str">
        <x:v>Likely correction, not stated</x:v>
      </x:c>
      <x:c r="Y15" s="19" t="str">
        <x:v>Not stated</x:v>
      </x:c>
      <x:c r="Z15" s="19" t="str">
        <x:v>Not stated</x:v>
      </x:c>
      <x:c r="AA15" s="19" t="str">
        <x:v>Low for Arabic output</x:v>
      </x:c>
      <x:c r="AB15" s="19" t="str">
        <x:v>Not mentioned</x:v>
      </x:c>
      <x:c r="AC15" s="19" t="str">
        <x:v>Not mentioned</x:v>
      </x:c>
      <x:c r="AD15" s="19" t="str">
        <x:v>Price perceived high</x:v>
      </x:c>
      <x:c r="AE15" s="19" t="str">
        <x:v>Unknown</x:v>
      </x:c>
      <x:c r="AF15" s="19" t="str">
        <x:v>Not stated</x:v>
      </x:c>
      <x:c r="AG15" s="19" t="str">
        <x:v>Negative</x:v>
      </x:c>
      <x:c r="AH15" s="19" t="str">
        <x:v>[转述] 阿语错误较多，同时认为价格偏高</x:v>
      </x:c>
      <x:c r="AI15" s="19" t="str">
        <x:v>Hypothesis only</x:v>
      </x:c>
      <x:c r="AJ15" s="19" t="str">
        <x:v>Core</x:v>
      </x:c>
      <x:c r="AK15" s="19" t="str">
        <x:v>Year unknown</x:v>
      </x:c>
      <x:c r="AL15" s="19" t="str">
        <x:v>Alias and storefront are weak/medium geo evidence</x:v>
      </x:c>
      <x:c r="AM15" s="19" t="str">
        <x:v>Important localization hypothesis requiring stronger UAE validation</x:v>
      </x:c>
    </x:row>
    <x:row r="16" ht="78" customHeight="1">
      <x:c r="A16" s="19" t="str">
        <x:v>FB-ARE-20250516-000014</x:v>
      </x:c>
      <x:c r="B16" s="19" t="str">
        <x:v>Manus</x:v>
      </x:c>
      <x:c r="C16" s="19" t="str">
        <x:v>A1 Direct</x:v>
      </x:c>
      <x:c r="D16" s="19" t="str">
        <x:v>App-store review</x:v>
      </x:c>
      <x:c r="E16" s="19" t="str">
        <x:v>Apple App Store</x:v>
      </x:c>
      <x:c r="F16" s="19" t="str">
        <x:v>https://apps.apple.com/ae/app/manus-ai-agent-automation/id6740909540?platform=iphone&amp;see-all=reviews</x:v>
      </x:c>
      <x:c r="G16" s="19" t="str">
        <x:v>2025-05-16</x:v>
      </x:c>
      <x:c r="H16" s="19" t="str">
        <x:v>2026-09-03</x:v>
      </x:c>
      <x:c r="I16" s="19" t="str">
        <x:v>UAE hypothesis pool</x:v>
      </x:c>
      <x:c r="J16" s="19" t="str">
        <x:v>ARE</x:v>
      </x:c>
      <x:c r="K16" s="19" t="str">
        <x:v>Low</x:v>
      </x:c>
      <x:c r="L16" s="19" t="str">
        <x:v>AE storefront only</x:v>
      </x:c>
      <x:c r="M16" s="19" t="str">
        <x:v>en</x:v>
      </x:c>
      <x:c r="N16" s="19" t="str">
        <x:v>en</x:v>
      </x:c>
      <x:c r="O16" s="19" t="str">
        <x:v>Paid app user</x:v>
      </x:c>
      <x:c r="P16" s="19" t="str">
        <x:v>Unknown</x:v>
      </x:c>
      <x:c r="Q16" s="19" t="str">
        <x:v>Run paid Manus tasks</x:v>
      </x:c>
      <x:c r="R16" s="19" t="str">
        <x:v>Paid use</x:v>
      </x:c>
      <x:c r="S16" s="19" t="str">
        <x:v>App; credits; email/in-app support</x:v>
      </x:c>
      <x:c r="T16" s="19" t="str">
        <x:v>Task completion or no charge when errors occur</x:v>
      </x:c>
      <x:c r="U16" s="19" t="str">
        <x:v>Errors prevented delivery while credits were deducted</x:v>
      </x:c>
      <x:c r="V16" s="19" t="str">
        <x:v>Failed</x:v>
      </x:c>
      <x:c r="W16" s="19" t="str">
        <x:v>Execution + billing + support</x:v>
      </x:c>
      <x:c r="X16" s="19" t="str">
        <x:v>Repeated emails and in-app messages</x:v>
      </x:c>
      <x:c r="Y16" s="19" t="str">
        <x:v>Repeated attempts; no support response</x:v>
      </x:c>
      <x:c r="Z16" s="19" t="str">
        <x:v>Not stated</x:v>
      </x:c>
      <x:c r="AA16" s="19" t="str">
        <x:v>Low</x:v>
      </x:c>
      <x:c r="AB16" s="19" t="str">
        <x:v>Repeated payment attempts alleged without approval</x:v>
      </x:c>
      <x:c r="AC16" s="19" t="str">
        <x:v>Severe trust concern</x:v>
      </x:c>
      <x:c r="AD16" s="19" t="str">
        <x:v>Credits charged on failures</x:v>
      </x:c>
      <x:c r="AE16" s="19" t="str">
        <x:v>Unknown</x:v>
      </x:c>
      <x:c r="AF16" s="19" t="str">
        <x:v>Explicit non-recommendation</x:v>
      </x:c>
      <x:c r="AG16" s="19" t="str">
        <x:v>Negative</x:v>
      </x:c>
      <x:c r="AH16" s="19" t="str">
        <x:v>[转述] 服务反复报错仍扣积分，客服也未响应</x:v>
      </x:c>
      <x:c r="AI16" s="19" t="str">
        <x:v>Hypothesis only</x:v>
      </x:c>
      <x:c r="AJ16" s="19" t="str">
        <x:v>Core</x:v>
      </x:c>
      <x:c r="AK16" s="19" t="str">
        <x:v>Exact</x:v>
      </x:c>
      <x:c r="AL16" s="19" t="str">
        <x:v>AE storefront does not prove reviewer country</x:v>
      </x:c>
      <x:c r="AM16" s="19" t="str">
        <x:v>Rich failure chain but low geo confidence</x:v>
      </x:c>
    </x:row>
    <x:row r="17" ht="78" customHeight="1">
      <x:c r="A17" s="19" t="str">
        <x:v>FB-ARE-20260000-000015</x:v>
      </x:c>
      <x:c r="B17" s="19" t="str">
        <x:v>Manus</x:v>
      </x:c>
      <x:c r="C17" s="19" t="str">
        <x:v>A1 Direct</x:v>
      </x:c>
      <x:c r="D17" s="19" t="str">
        <x:v>App-store review</x:v>
      </x:c>
      <x:c r="E17" s="19" t="str">
        <x:v>Apple App Store</x:v>
      </x:c>
      <x:c r="F17" s="19" t="str">
        <x:v>https://apps.apple.com/ae/app/manus-ai-agent-automation/id6740909540?platform=iphone&amp;see-all=reviews</x:v>
      </x:c>
      <x:c r="G17" s="19" t="str"/>
      <x:c r="H17" s="19" t="str">
        <x:v>2026-09-03</x:v>
      </x:c>
      <x:c r="I17" s="19" t="str">
        <x:v>UAE hypothesis pool</x:v>
      </x:c>
      <x:c r="J17" s="19" t="str">
        <x:v>ARE</x:v>
      </x:c>
      <x:c r="K17" s="19" t="str">
        <x:v>Low</x:v>
      </x:c>
      <x:c r="L17" s="19" t="str">
        <x:v>AE storefront only</x:v>
      </x:c>
      <x:c r="M17" s="19" t="str">
        <x:v>en</x:v>
      </x:c>
      <x:c r="N17" s="19" t="str">
        <x:v>en</x:v>
      </x:c>
      <x:c r="O17" s="19" t="str">
        <x:v>Lite plan user</x:v>
      </x:c>
      <x:c r="P17" s="19" t="str">
        <x:v>Individual</x:v>
      </x:c>
      <x:c r="Q17" s="19" t="str">
        <x:v>Complete a simple task</x:v>
      </x:c>
      <x:c r="R17" s="19" t="str">
        <x:v>Testing Lite plan</x:v>
      </x:c>
      <x:c r="S17" s="19" t="str">
        <x:v>Lite plan; 510 credits</x:v>
      </x:c>
      <x:c r="T17" s="19" t="str">
        <x:v>Simple task at proportionate cost</x:v>
      </x:c>
      <x:c r="U17" s="19" t="str">
        <x:v>Task consumed 510 credits; value did not justify subscription</x:v>
      </x:c>
      <x:c r="V17" s="19" t="str">
        <x:v>Partial</x:v>
      </x:c>
      <x:c r="W17" s="19" t="str">
        <x:v>Cost predictability</x:v>
      </x:c>
      <x:c r="X17" s="19" t="str">
        <x:v>Compare with alternatives</x:v>
      </x:c>
      <x:c r="Y17" s="19" t="str">
        <x:v>Not stated</x:v>
      </x:c>
      <x:c r="Z17" s="19" t="str">
        <x:v>Not stated</x:v>
      </x:c>
      <x:c r="AA17" s="19" t="str">
        <x:v>Capability acceptable, economics not</x:v>
      </x:c>
      <x:c r="AB17" s="19" t="str">
        <x:v>Credit cost not predictable</x:v>
      </x:c>
      <x:c r="AC17" s="19" t="str">
        <x:v>Pricing model reduces trust</x:v>
      </x:c>
      <x:c r="AD17" s="19" t="str">
        <x:v>510 credits for one simple task</x:v>
      </x:c>
      <x:c r="AE17" s="19" t="str">
        <x:v>Unspecified better alternatives</x:v>
      </x:c>
      <x:c r="AF17" s="19" t="str">
        <x:v>Would not subscribe; expects users to leave</x:v>
      </x:c>
      <x:c r="AG17" s="19" t="str">
        <x:v>Negative</x:v>
      </x:c>
      <x:c r="AH17" s="19" t="str">
        <x:v>[转述] 一个简单任务消耗 510 credits，认为不值得订阅</x:v>
      </x:c>
      <x:c r="AI17" s="19" t="str">
        <x:v>Hypothesis only</x:v>
      </x:c>
      <x:c r="AJ17" s="19" t="str">
        <x:v>Core</x:v>
      </x:c>
      <x:c r="AK17" s="19" t="str">
        <x:v>Year unknown</x:v>
      </x:c>
      <x:c r="AL17" s="19" t="str">
        <x:v>AE storefront does not prove reviewer country</x:v>
      </x:c>
      <x:c r="AM17" s="19" t="str">
        <x:v>High-value pricing hypothesis; low UAE confidence</x:v>
      </x:c>
    </x:row>
  </x:sheetData>
  <x:mergeCells>
    <x:mergeCell ref="A1:AM1"/>
    <x:mergeCell ref="A2:AM2"/>
  </x:mergeCells>
  <x:conditionalFormatting sqref="K5:K17">
    <x:cfRule type="containsText" dxfId="2" priority="1" operator="containsText" text="High"/>
  </x:conditionalFormatting>
  <x:conditionalFormatting sqref="V5:V17">
    <x:cfRule type="containsText" dxfId="3" priority="2" operator="containsText" text="Failed"/>
    <x:cfRule type="containsText" dxfId="4" priority="3" operator="containsText" text="Success"/>
  </x:conditionalFormatting>
  <x:pageMargins left="0.7" right="0.7" top="0.75" bottom="0.75" header="0.3" footer="0.3"/>
  <x:tableParts count="1">
    <x:tablePart xmlns:r="http://schemas.openxmlformats.org/officeDocument/2006/relationships" r:id="R9fb712f79ab04a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3" hidden="0" customWidth="1"/>
    <x:col min="8" max="8" width="11" hidden="0" customWidth="1"/>
    <x:col min="9" max="9" width="13" hidden="0" customWidth="1"/>
    <x:col min="10" max="10" width="12" hidden="0" customWidth="1"/>
    <x:col min="11" max="11" width="14" hidden="0" customWidth="1"/>
    <x:col min="12" max="12" width="14" hidden="0" customWidth="1"/>
    <x:col min="13" max="13" width="15" hidden="0" customWidth="1"/>
    <x:col min="14" max="14" width="14" hidden="0" customWidth="1"/>
    <x:col min="15" max="15" width="15" hidden="0" customWidth="1"/>
    <x:col min="16" max="16" width="14" hidden="0" customWidth="1"/>
    <x:col min="17" max="17" width="13" hidden="0" customWidth="1"/>
    <x:col min="18" max="18" width="14" hidden="0" customWidth="1"/>
    <x:col min="19" max="19" width="13" hidden="0" customWidth="1"/>
    <x:col min="20" max="20" width="15" hidden="0" customWidth="1"/>
    <x:col min="21" max="21" width="16" hidden="0" customWidth="1"/>
    <x:col min="22" max="22" width="14" hidden="0" customWidth="1"/>
    <x:col min="23" max="23" width="50" hidden="0" customWidth="1"/>
  </x:cols>
  <x:sheetData>
    <x:row r="1" ht="34" customHeight="1">
      <x:c r="A1" s="3" t="str">
        <x:v>Coverage Matrix｜0–3 字段覆盖评分</x:v>
      </x:c>
      <x:c r="B1" s="3" t="str">
        <x:v>Coverage Matrix｜0–3 字段覆盖评分</x:v>
      </x:c>
      <x:c r="C1" s="3" t="str">
        <x:v>Coverage Matrix｜0–3 字段覆盖评分</x:v>
      </x:c>
      <x:c r="D1" s="3" t="str">
        <x:v>Coverage Matrix｜0–3 字段覆盖评分</x:v>
      </x:c>
      <x:c r="E1" s="3" t="str">
        <x:v>Coverage Matrix｜0–3 字段覆盖评分</x:v>
      </x:c>
      <x:c r="F1" s="3" t="str">
        <x:v>Coverage Matrix｜0–3 字段覆盖评分</x:v>
      </x:c>
      <x:c r="G1" s="3" t="str">
        <x:v>Coverage Matrix｜0–3 字段覆盖评分</x:v>
      </x:c>
      <x:c r="H1" s="3" t="str">
        <x:v>Coverage Matrix｜0–3 字段覆盖评分</x:v>
      </x:c>
      <x:c r="I1" s="3" t="str">
        <x:v>Coverage Matrix｜0–3 字段覆盖评分</x:v>
      </x:c>
      <x:c r="J1" s="3" t="str">
        <x:v>Coverage Matrix｜0–3 字段覆盖评分</x:v>
      </x:c>
      <x:c r="K1" s="3" t="str">
        <x:v>Coverage Matrix｜0–3 字段覆盖评分</x:v>
      </x:c>
      <x:c r="L1" s="3" t="str">
        <x:v>Coverage Matrix｜0–3 字段覆盖评分</x:v>
      </x:c>
      <x:c r="M1" s="3" t="str">
        <x:v>Coverage Matrix｜0–3 字段覆盖评分</x:v>
      </x:c>
      <x:c r="N1" s="3" t="str">
        <x:v>Coverage Matrix｜0–3 字段覆盖评分</x:v>
      </x:c>
      <x:c r="O1" s="3" t="str">
        <x:v>Coverage Matrix｜0–3 字段覆盖评分</x:v>
      </x:c>
      <x:c r="P1" s="3" t="str">
        <x:v>Coverage Matrix｜0–3 字段覆盖评分</x:v>
      </x:c>
      <x:c r="Q1" s="3" t="str">
        <x:v>Coverage Matrix｜0–3 字段覆盖评分</x:v>
      </x:c>
      <x:c r="R1" s="3" t="str">
        <x:v>Coverage Matrix｜0–3 字段覆盖评分</x:v>
      </x:c>
      <x:c r="S1" s="3" t="str">
        <x:v>Coverage Matrix｜0–3 字段覆盖评分</x:v>
      </x:c>
      <x:c r="T1" s="3" t="str">
        <x:v>Coverage Matrix｜0–3 字段覆盖评分</x:v>
      </x:c>
      <x:c r="U1" s="3" t="str">
        <x:v>Coverage Matrix｜0–3 字段覆盖评分</x:v>
      </x:c>
      <x:c r="V1" s="3" t="str">
        <x:v>Coverage Matrix｜0–3 字段覆盖评分</x:v>
      </x:c>
      <x:c r="W1" s="3" t="str">
        <x:v>Coverage Matrix｜0–3 字段覆盖评分</x:v>
      </x:c>
    </x:row>
    <x:row r="2" ht="28" customHeight="1">
      <x:c r="A2" s="24" t="str">
        <x:v>0=通常拿不到；1=偶发/弱；2=部分可拿；3=稳定可拿。评分是本轮渠道能力判断，不是市场评分。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</x:row>
    <x:row r="4" ht="32" customHeight="1">
      <x:c r="A4" s="15" t="str">
        <x:v>channel</x:v>
      </x:c>
      <x:c r="B4" s="16" t="str">
        <x:v>sample_basis</x:v>
      </x:c>
      <x:c r="C4" s="16" t="str">
        <x:v>volume</x:v>
      </x:c>
      <x:c r="D4" s="16" t="str">
        <x:v>date</x:v>
      </x:c>
      <x:c r="E4" s="16" t="str">
        <x:v>rating</x:v>
      </x:c>
      <x:c r="F4" s="16" t="str">
        <x:v>language</x:v>
      </x:c>
      <x:c r="G4" s="16" t="str">
        <x:v>user_country</x:v>
      </x:c>
      <x:c r="H4" s="16" t="str">
        <x:v>user_role</x:v>
      </x:c>
      <x:c r="I4" s="16" t="str">
        <x:v>company_size</x:v>
      </x:c>
      <x:c r="J4" s="16" t="str">
        <x:v>jtbd</x:v>
      </x:c>
      <x:c r="K4" s="16" t="str">
        <x:v>workflow_steps</x:v>
      </x:c>
      <x:c r="L4" s="16" t="str">
        <x:v>connected_tools</x:v>
      </x:c>
      <x:c r="M4" s="16" t="str">
        <x:v>expected_output</x:v>
      </x:c>
      <x:c r="N4" s="16" t="str">
        <x:v>actual_result</x:v>
      </x:c>
      <x:c r="O4" s="16" t="str">
        <x:v>failure_stage</x:v>
      </x:c>
      <x:c r="P4" s="16" t="str">
        <x:v>manual_intervention</x:v>
      </x:c>
      <x:c r="Q4" s="16" t="str">
        <x:v>time_latency</x:v>
      </x:c>
      <x:c r="R4" s="16" t="str">
        <x:v>pricing_limits</x:v>
      </x:c>
      <x:c r="S4" s="16" t="str">
        <x:v>support</x:v>
      </x:c>
      <x:c r="T4" s="16" t="str">
        <x:v>privacy_trust</x:v>
      </x:c>
      <x:c r="U4" s="16" t="str">
        <x:v>switching_retention</x:v>
      </x:c>
      <x:c r="V4" s="16" t="str">
        <x:v>engagement</x:v>
      </x:c>
      <x:c r="W4" s="17" t="str">
        <x:v>summary</x:v>
      </x:c>
    </x:row>
    <x:row r="5" ht="42" customHeight="1">
      <x:c r="A5" s="19" t="str">
        <x:v>Trustpilot</x:v>
      </x:c>
      <x:c r="B5" s="19" t="str">
        <x:v>6 coded ARE rows</x:v>
      </x:c>
      <x:c r="C5" s="28" t="n">
        <x:v>2</x:v>
      </x:c>
      <x:c r="D5" s="28" t="n">
        <x:v>3</x:v>
      </x:c>
      <x:c r="E5" s="28" t="n">
        <x:v>3</x:v>
      </x:c>
      <x:c r="F5" s="28" t="n">
        <x:v>3</x:v>
      </x:c>
      <x:c r="G5" s="28" t="n">
        <x:v>3</x:v>
      </x:c>
      <x:c r="H5" s="28" t="n">
        <x:v>2</x:v>
      </x:c>
      <x:c r="I5" s="28" t="n">
        <x:v>1</x:v>
      </x:c>
      <x:c r="J5" s="28" t="n">
        <x:v>2</x:v>
      </x:c>
      <x:c r="K5" s="28" t="n">
        <x:v>2</x:v>
      </x:c>
      <x:c r="L5" s="28" t="n">
        <x:v>1</x:v>
      </x:c>
      <x:c r="M5" s="28" t="n">
        <x:v>2</x:v>
      </x:c>
      <x:c r="N5" s="28" t="n">
        <x:v>3</x:v>
      </x:c>
      <x:c r="O5" s="28" t="n">
        <x:v>2</x:v>
      </x:c>
      <x:c r="P5" s="28" t="n">
        <x:v>2</x:v>
      </x:c>
      <x:c r="Q5" s="28" t="n">
        <x:v>2</x:v>
      </x:c>
      <x:c r="R5" s="28" t="n">
        <x:v>3</x:v>
      </x:c>
      <x:c r="S5" s="28" t="n">
        <x:v>3</x:v>
      </x:c>
      <x:c r="T5" s="28" t="n">
        <x:v>2</x:v>
      </x:c>
      <x:c r="U5" s="28" t="n">
        <x:v>3</x:v>
      </x:c>
      <x:c r="V5" s="28" t="n">
        <x:v>0</x:v>
      </x:c>
      <x:c r="W5" s="19" t="str">
        <x:v>最适合国家标签+商业摩擦+迁移；任务深度不稳定</x:v>
      </x:c>
    </x:row>
    <x:row r="6" ht="42" customHeight="1">
      <x:c r="A6" s="19" t="str">
        <x:v>Apple App Store</x:v>
      </x:c>
      <x:c r="B6" s="19" t="str">
        <x:v>6 coded hypothesis rows</x:v>
      </x:c>
      <x:c r="C6" s="28" t="n">
        <x:v>3</x:v>
      </x:c>
      <x:c r="D6" s="28" t="n">
        <x:v>2</x:v>
      </x:c>
      <x:c r="E6" s="28" t="n">
        <x:v>3</x:v>
      </x:c>
      <x:c r="F6" s="28" t="n">
        <x:v>3</x:v>
      </x:c>
      <x:c r="G6" s="28" t="n">
        <x:v>1</x:v>
      </x:c>
      <x:c r="H6" s="28" t="n">
        <x:v>0</x:v>
      </x:c>
      <x:c r="I6" s="28" t="n">
        <x:v>0</x:v>
      </x:c>
      <x:c r="J6" s="28" t="n">
        <x:v>2</x:v>
      </x:c>
      <x:c r="K6" s="28" t="n">
        <x:v>1</x:v>
      </x:c>
      <x:c r="L6" s="28" t="n">
        <x:v>1</x:v>
      </x:c>
      <x:c r="M6" s="28" t="n">
        <x:v>2</x:v>
      </x:c>
      <x:c r="N6" s="28" t="n">
        <x:v>3</x:v>
      </x:c>
      <x:c r="O6" s="28" t="n">
        <x:v>2</x:v>
      </x:c>
      <x:c r="P6" s="28" t="n">
        <x:v>1</x:v>
      </x:c>
      <x:c r="Q6" s="28" t="n">
        <x:v>1</x:v>
      </x:c>
      <x:c r="R6" s="28" t="n">
        <x:v>3</x:v>
      </x:c>
      <x:c r="S6" s="28" t="n">
        <x:v>2</x:v>
      </x:c>
      <x:c r="T6" s="28" t="n">
        <x:v>2</x:v>
      </x:c>
      <x:c r="U6" s="28" t="n">
        <x:v>3</x:v>
      </x:c>
      <x:c r="V6" s="28" t="n">
        <x:v>0</x:v>
      </x:c>
      <x:c r="W6" s="19" t="str">
        <x:v>容易拿量和主题；国家归属最危险，必须降置信度</x:v>
      </x:c>
    </x:row>
    <x:row r="7" ht="42" customHeight="1">
      <x:c r="A7" s="19" t="str">
        <x:v>Reddit</x:v>
      </x:c>
      <x:c r="B7" s="19" t="str">
        <x:v>1 coded + 2 routed/excluded</x:v>
      </x:c>
      <x:c r="C7" s="28" t="n">
        <x:v>1</x:v>
      </x:c>
      <x:c r="D7" s="28" t="n">
        <x:v>3</x:v>
      </x:c>
      <x:c r="E7" s="28" t="n">
        <x:v>0</x:v>
      </x:c>
      <x:c r="F7" s="28" t="n">
        <x:v>3</x:v>
      </x:c>
      <x:c r="G7" s="28" t="n">
        <x:v>2</x:v>
      </x:c>
      <x:c r="H7" s="28" t="n">
        <x:v>1</x:v>
      </x:c>
      <x:c r="I7" s="28" t="n">
        <x:v>1</x:v>
      </x:c>
      <x:c r="J7" s="28" t="n">
        <x:v>3</x:v>
      </x:c>
      <x:c r="K7" s="28" t="n">
        <x:v>3</x:v>
      </x:c>
      <x:c r="L7" s="28" t="n">
        <x:v>3</x:v>
      </x:c>
      <x:c r="M7" s="28" t="n">
        <x:v>3</x:v>
      </x:c>
      <x:c r="N7" s="28" t="n">
        <x:v>3</x:v>
      </x:c>
      <x:c r="O7" s="28" t="n">
        <x:v>2</x:v>
      </x:c>
      <x:c r="P7" s="28" t="n">
        <x:v>2</x:v>
      </x:c>
      <x:c r="Q7" s="28" t="n">
        <x:v>2</x:v>
      </x:c>
      <x:c r="R7" s="28" t="n">
        <x:v>2</x:v>
      </x:c>
      <x:c r="S7" s="28" t="n">
        <x:v>1</x:v>
      </x:c>
      <x:c r="T7" s="28" t="n">
        <x:v>2</x:v>
      </x:c>
      <x:c r="U7" s="28" t="n">
        <x:v>3</x:v>
      </x:c>
      <x:c r="V7" s="28" t="n">
        <x:v>3</x:v>
      </x:c>
      <x:c r="W7" s="19" t="str">
        <x:v>命中率低但上下文最完整；需逐条确认地理并遵守 API 条款</x:v>
      </x:c>
    </x:row>
    <x:row r="8" ht="42" customHeight="1">
      <x:c r="A8" s="19" t="str">
        <x:v>Google Play</x:v>
      </x:c>
      <x:c r="B8" s="19" t="str">
        <x:v>1 excluded Arabic row</x:v>
      </x:c>
      <x:c r="C8" s="28" t="n">
        <x:v>3</x:v>
      </x:c>
      <x:c r="D8" s="28" t="n">
        <x:v>3</x:v>
      </x:c>
      <x:c r="E8" s="28" t="n">
        <x:v>3</x:v>
      </x:c>
      <x:c r="F8" s="28" t="n">
        <x:v>3</x:v>
      </x:c>
      <x:c r="G8" s="28" t="n">
        <x:v>1</x:v>
      </x:c>
      <x:c r="H8" s="28" t="n">
        <x:v>0</x:v>
      </x:c>
      <x:c r="I8" s="28" t="n">
        <x:v>0</x:v>
      </x:c>
      <x:c r="J8" s="28" t="n">
        <x:v>2</x:v>
      </x:c>
      <x:c r="K8" s="28" t="n">
        <x:v>1</x:v>
      </x:c>
      <x:c r="L8" s="28" t="n">
        <x:v>1</x:v>
      </x:c>
      <x:c r="M8" s="28" t="n">
        <x:v>1</x:v>
      </x:c>
      <x:c r="N8" s="28" t="n">
        <x:v>2</x:v>
      </x:c>
      <x:c r="O8" s="28" t="n">
        <x:v>2</x:v>
      </x:c>
      <x:c r="P8" s="28" t="n">
        <x:v>1</x:v>
      </x:c>
      <x:c r="Q8" s="28" t="n">
        <x:v>1</x:v>
      </x:c>
      <x:c r="R8" s="28" t="n">
        <x:v>3</x:v>
      </x:c>
      <x:c r="S8" s="28" t="n">
        <x:v>2</x:v>
      </x:c>
      <x:c r="T8" s="28" t="n">
        <x:v>1</x:v>
      </x:c>
      <x:c r="U8" s="28" t="n">
        <x:v>2</x:v>
      </x:c>
      <x:c r="V8" s="28" t="n">
        <x:v>1</x:v>
      </x:c>
      <x:c r="W8" s="19" t="str">
        <x:v>多语言主题发现可用；缺少可靠国家字段</x:v>
      </x:c>
    </x:row>
    <x:row r="9" ht="42" customHeight="1">
      <x:c r="A9" s="19" t="str">
        <x:v>YouTube</x:v>
      </x:c>
      <x:c r="B9" s="19" t="str">
        <x:v>discovery only; API not run</x:v>
      </x:c>
      <x:c r="C9" s="28" t="n">
        <x:v>3</x:v>
      </x:c>
      <x:c r="D9" s="28" t="n">
        <x:v>3</x:v>
      </x:c>
      <x:c r="E9" s="28" t="n">
        <x:v>1</x:v>
      </x:c>
      <x:c r="F9" s="28" t="n">
        <x:v>3</x:v>
      </x:c>
      <x:c r="G9" s="28" t="n">
        <x:v>1</x:v>
      </x:c>
      <x:c r="H9" s="28" t="n">
        <x:v>1</x:v>
      </x:c>
      <x:c r="I9" s="28" t="n">
        <x:v>0</x:v>
      </x:c>
      <x:c r="J9" s="28" t="n">
        <x:v>2</x:v>
      </x:c>
      <x:c r="K9" s="28" t="n">
        <x:v>2</x:v>
      </x:c>
      <x:c r="L9" s="28" t="n">
        <x:v>2</x:v>
      </x:c>
      <x:c r="M9" s="28" t="n">
        <x:v>2</x:v>
      </x:c>
      <x:c r="N9" s="28" t="n">
        <x:v>2</x:v>
      </x:c>
      <x:c r="O9" s="28" t="n">
        <x:v>1</x:v>
      </x:c>
      <x:c r="P9" s="28" t="n">
        <x:v>1</x:v>
      </x:c>
      <x:c r="Q9" s="28" t="n">
        <x:v>2</x:v>
      </x:c>
      <x:c r="R9" s="28" t="n">
        <x:v>1</x:v>
      </x:c>
      <x:c r="S9" s="28" t="n">
        <x:v>1</x:v>
      </x:c>
      <x:c r="T9" s="28" t="n">
        <x:v>1</x:v>
      </x:c>
      <x:c r="U9" s="28" t="n">
        <x:v>2</x:v>
      </x:c>
      <x:c r="V9" s="28" t="n">
        <x:v>3</x:v>
      </x:c>
      <x:c r="W9" s="19" t="str">
        <x:v>适合长评和评论规模；作者/评论者国家弱，需 API key</x:v>
      </x:c>
    </x:row>
    <x:row r="10" ht="42" customHeight="1">
      <x:c r="A10" s="19" t="str">
        <x:v>GitHub</x:v>
      </x:c>
      <x:c r="B10" s="19" t="str">
        <x:v>API surface tested; 0 target rows</x:v>
      </x:c>
      <x:c r="C10" s="28" t="n">
        <x:v>2</x:v>
      </x:c>
      <x:c r="D10" s="28" t="n">
        <x:v>3</x:v>
      </x:c>
      <x:c r="E10" s="28" t="n">
        <x:v>0</x:v>
      </x:c>
      <x:c r="F10" s="28" t="n">
        <x:v>3</x:v>
      </x:c>
      <x:c r="G10" s="28" t="n">
        <x:v>0</x:v>
      </x:c>
      <x:c r="H10" s="28" t="n">
        <x:v>0</x:v>
      </x:c>
      <x:c r="I10" s="28" t="n">
        <x:v>0</x:v>
      </x:c>
      <x:c r="J10" s="28" t="n">
        <x:v>2</x:v>
      </x:c>
      <x:c r="K10" s="28" t="n">
        <x:v>3</x:v>
      </x:c>
      <x:c r="L10" s="28" t="n">
        <x:v>3</x:v>
      </x:c>
      <x:c r="M10" s="28" t="n">
        <x:v>3</x:v>
      </x:c>
      <x:c r="N10" s="28" t="n">
        <x:v>3</x:v>
      </x:c>
      <x:c r="O10" s="28" t="n">
        <x:v>3</x:v>
      </x:c>
      <x:c r="P10" s="28" t="n">
        <x:v>3</x:v>
      </x:c>
      <x:c r="Q10" s="28" t="n">
        <x:v>2</x:v>
      </x:c>
      <x:c r="R10" s="28" t="n">
        <x:v>0</x:v>
      </x:c>
      <x:c r="S10" s="28" t="n">
        <x:v>2</x:v>
      </x:c>
      <x:c r="T10" s="28" t="n">
        <x:v>2</x:v>
      </x:c>
      <x:c r="U10" s="28" t="n">
        <x:v>1</x:v>
      </x:c>
      <x:c r="V10" s="28" t="n">
        <x:v>3</x:v>
      </x:c>
      <x:c r="W10" s="19" t="str">
        <x:v>技术故障最强，但本轮闭源竞品缺少官方 issues，地理也弱</x:v>
      </x:c>
    </x:row>
    <x:row r="11" ht="42" customHeight="1">
      <x:c r="A11" s="19" t="str">
        <x:v>Product Hunt</x:v>
      </x:c>
      <x:c r="B11" s="19" t="str">
        <x:v>0 ARE rows</x:v>
      </x:c>
      <x:c r="C11" s="28" t="n">
        <x:v>2</x:v>
      </x:c>
      <x:c r="D11" s="28" t="n">
        <x:v>3</x:v>
      </x:c>
      <x:c r="E11" s="28" t="n">
        <x:v>1</x:v>
      </x:c>
      <x:c r="F11" s="28" t="n">
        <x:v>3</x:v>
      </x:c>
      <x:c r="G11" s="28" t="n">
        <x:v>1</x:v>
      </x:c>
      <x:c r="H11" s="28" t="n">
        <x:v>2</x:v>
      </x:c>
      <x:c r="I11" s="28" t="n">
        <x:v>1</x:v>
      </x:c>
      <x:c r="J11" s="28" t="n">
        <x:v>2</x:v>
      </x:c>
      <x:c r="K11" s="28" t="n">
        <x:v>1</x:v>
      </x:c>
      <x:c r="L11" s="28" t="n">
        <x:v>1</x:v>
      </x:c>
      <x:c r="M11" s="28" t="n">
        <x:v>2</x:v>
      </x:c>
      <x:c r="N11" s="28" t="n">
        <x:v>2</x:v>
      </x:c>
      <x:c r="O11" s="28" t="n">
        <x:v>1</x:v>
      </x:c>
      <x:c r="P11" s="28" t="n">
        <x:v>1</x:v>
      </x:c>
      <x:c r="Q11" s="28" t="n">
        <x:v>1</x:v>
      </x:c>
      <x:c r="R11" s="28" t="n">
        <x:v>2</x:v>
      </x:c>
      <x:c r="S11" s="28" t="n">
        <x:v>1</x:v>
      </x:c>
      <x:c r="T11" s="28" t="n">
        <x:v>1</x:v>
      </x:c>
      <x:c r="U11" s="28" t="n">
        <x:v>2</x:v>
      </x:c>
      <x:c r="V11" s="28" t="n">
        <x:v>3</x:v>
      </x:c>
      <x:c r="W11" s="19" t="str">
        <x:v>适合新品/定位，国家归因与长期使用证据弱</x:v>
      </x:c>
    </x:row>
    <x:row r="12" ht="42" customHeight="1">
      <x:c r="A12" s="19" t="str">
        <x:v>G2/Capterra</x:v>
      </x:c>
      <x:c r="B12" s="19" t="str">
        <x:v>0 ARE rows; candidate</x:v>
      </x:c>
      <x:c r="C12" s="28" t="n">
        <x:v>2</x:v>
      </x:c>
      <x:c r="D12" s="28" t="n">
        <x:v>3</x:v>
      </x:c>
      <x:c r="E12" s="28" t="n">
        <x:v>3</x:v>
      </x:c>
      <x:c r="F12" s="28" t="n">
        <x:v>3</x:v>
      </x:c>
      <x:c r="G12" s="28" t="n">
        <x:v>2</x:v>
      </x:c>
      <x:c r="H12" s="28" t="n">
        <x:v>3</x:v>
      </x:c>
      <x:c r="I12" s="28" t="n">
        <x:v>3</x:v>
      </x:c>
      <x:c r="J12" s="28" t="n">
        <x:v>3</x:v>
      </x:c>
      <x:c r="K12" s="28" t="n">
        <x:v>2</x:v>
      </x:c>
      <x:c r="L12" s="28" t="n">
        <x:v>2</x:v>
      </x:c>
      <x:c r="M12" s="28" t="n">
        <x:v>2</x:v>
      </x:c>
      <x:c r="N12" s="28" t="n">
        <x:v>3</x:v>
      </x:c>
      <x:c r="O12" s="28" t="n">
        <x:v>2</x:v>
      </x:c>
      <x:c r="P12" s="28" t="n">
        <x:v>2</x:v>
      </x:c>
      <x:c r="Q12" s="28" t="n">
        <x:v>2</x:v>
      </x:c>
      <x:c r="R12" s="28" t="n">
        <x:v>2</x:v>
      </x:c>
      <x:c r="S12" s="28" t="n">
        <x:v>2</x:v>
      </x:c>
      <x:c r="T12" s="28" t="n">
        <x:v>2</x:v>
      </x:c>
      <x:c r="U12" s="28" t="n">
        <x:v>2</x:v>
      </x:c>
      <x:c r="V12" s="28" t="n">
        <x:v>1</x:v>
      </x:c>
      <x:c r="W12" s="19" t="str">
        <x:v>理论上最适合 B2B 画像，但需先确认竞品覆盖、筛选和授权</x:v>
      </x:c>
    </x:row>
  </x:sheetData>
  <x:mergeCells>
    <x:mergeCell ref="A1:W1"/>
    <x:mergeCell ref="A2:W2"/>
  </x:mergeCells>
  <x:conditionalFormatting sqref="C5:V12">
    <x:cfRule type="colorScale" priority="1">
      <x:colorScale>
        <x:cfvo type="min"/>
        <x:cfvo type="percentile" val="50"/>
        <x:cfvo type="max"/>
        <x:color rgb="FFFDE8E7"/>
        <x:color rgb="FFF4E8CF"/>
        <x:color rgb="FFE4F3E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ace603caf0741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70" hidden="0" customWidth="1"/>
    <x:col min="4" max="4" width="62" hidden="0" customWidth="1"/>
  </x:cols>
  <x:sheetData>
    <x:row r="1" ht="34" customHeight="1">
      <x:c r="A1" s="3" t="str">
        <x:v>Codebook｜国家、范围、纳入与成功状态</x:v>
      </x:c>
      <x:c r="B1" s="3" t="str">
        <x:v>Codebook｜国家、范围、纳入与成功状态</x:v>
      </x:c>
      <x:c r="C1" s="3" t="str">
        <x:v>Codebook｜国家、范围、纳入与成功状态</x:v>
      </x:c>
      <x:c r="D1" s="3" t="str">
        <x:v>Codebook｜国家、范围、纳入与成功状态</x:v>
      </x:c>
    </x:row>
    <x:row r="3" ht="32" customHeight="1">
      <x:c r="A3" s="15" t="str">
        <x:v>field</x:v>
      </x:c>
      <x:c r="B3" s="16" t="str">
        <x:v>value</x:v>
      </x:c>
      <x:c r="C3" s="16" t="str">
        <x:v>definition</x:v>
      </x:c>
      <x:c r="D3" s="17" t="str">
        <x:v>decision_rule</x:v>
      </x:c>
    </x:row>
    <x:row r="4" ht="36" customHeight="1">
      <x:c r="A4" s="19" t="str">
        <x:v>country_confidence</x:v>
      </x:c>
      <x:c r="B4" s="19" t="str">
        <x:v>High</x:v>
      </x:c>
      <x:c r="C4" s="19" t="str">
        <x:v>正文或个人资料明确写出国家/城市；平台资料未独立验证时需在 geo_evidence 说明</x:v>
      </x:c>
      <x:c r="D4" s="19" t="str">
        <x:v>可进入国家核心样本，但仍保留来源偏差</x:v>
      </x:c>
    </x:row>
    <x:row r="5" ht="36" customHeight="1">
      <x:c r="A5" s="19" t="str">
        <x:v>country_confidence</x:v>
      </x:c>
      <x:c r="B5" s="19" t="str">
        <x:v>Medium</x:v>
      </x:c>
      <x:c r="C5" s="19" t="str">
        <x:v>本地 storefront/community 加另一条弱证据（如城市/币种/昵称）</x:v>
      </x:c>
      <x:c r="D5" s="19" t="str">
        <x:v>只用于假设和定性主题，不做强国家结论</x:v>
      </x:c>
    </x:row>
    <x:row r="6" ht="36" customHeight="1">
      <x:c r="A6" s="19" t="str">
        <x:v>country_confidence</x:v>
      </x:c>
      <x:c r="B6" s="19" t="str">
        <x:v>Low</x:v>
      </x:c>
      <x:c r="C6" s="19" t="str">
        <x:v>只有 storefront、语言或 regionCode 等单一弱信号</x:v>
      </x:c>
      <x:c r="D6" s="19" t="str">
        <x:v>不得计入国家高置信样本；只能进入假设池</x:v>
      </x:c>
    </x:row>
    <x:row r="7" ht="36" customHeight="1">
      <x:c r="A7" s="19" t="str">
        <x:v>country_confidence</x:v>
      </x:c>
      <x:c r="B7" s="19" t="str">
        <x:v>Unknown</x:v>
      </x:c>
      <x:c r="C7" s="19" t="str">
        <x:v>无法归属国家，或只有阿语/英语等跨国信号</x:v>
      </x:c>
      <x:c r="D7" s="19" t="str">
        <x:v>放 Global/Unknown 或排除</x:v>
      </x:c>
    </x:row>
    <x:row r="8" ht="36" customHeight="1">
      <x:c r="A8" s="19" t="str">
        <x:v>scope_class</x:v>
      </x:c>
      <x:c r="B8" s="19" t="str">
        <x:v>Core</x:v>
      </x:c>
      <x:c r="C8" s="19" t="str">
        <x:v>直接 agent/workspace/browser-agent 任务，或其关键执行/成本链路</x:v>
      </x:c>
      <x:c r="D8" s="19" t="str">
        <x:v>进入 Cowork 反馈主题分析</x:v>
      </x:c>
    </x:row>
    <x:row r="9" ht="36" customHeight="1">
      <x:c r="A9" s="19" t="str">
        <x:v>scope_class</x:v>
      </x:c>
      <x:c r="B9" s="19" t="str">
        <x:v>Adjacent</x:v>
      </x:c>
      <x:c r="C9" s="19" t="str">
        <x:v>一般 AI 产品、账单、客服等与 Cowork 相邻但非核心任务</x:v>
      </x:c>
      <x:c r="D9" s="19" t="str">
        <x:v>单独分析，不与核心成功率合并</x:v>
      </x:c>
    </x:row>
    <x:row r="10" ht="36" customHeight="1">
      <x:c r="A10" s="19" t="str">
        <x:v>success_status</x:v>
      </x:c>
      <x:c r="B10" s="19" t="str">
        <x:v>Success</x:v>
      </x:c>
      <x:c r="C10" s="19" t="str">
        <x:v>端到端完成且结果可直接使用</x:v>
      </x:c>
      <x:c r="D10" s="19" t="str">
        <x:v>必须能从正文判断实际结果</x:v>
      </x:c>
    </x:row>
    <x:row r="11" ht="36" customHeight="1">
      <x:c r="A11" s="19" t="str">
        <x:v>success_status</x:v>
      </x:c>
      <x:c r="B11" s="19" t="str">
        <x:v>Partial</x:v>
      </x:c>
      <x:c r="C11" s="19" t="str">
        <x:v>只完成部分步骤，或能力有效但需明显补救/受限</x:v>
      </x:c>
      <x:c r="D11" s="19" t="str">
        <x:v>记录失败/限制阶段</x:v>
      </x:c>
    </x:row>
    <x:row r="12" ht="36" customHeight="1">
      <x:c r="A12" s="19" t="str">
        <x:v>success_status</x:v>
      </x:c>
      <x:c r="B12" s="19" t="str">
        <x:v>Failed</x:v>
      </x:c>
      <x:c r="C12" s="19" t="str">
        <x:v>核心目标未完成、结果不可用或任务中断</x:v>
      </x:c>
      <x:c r="D12" s="19" t="str">
        <x:v>同时编码 failure_stage 与人工接管</x:v>
      </x:c>
    </x:row>
    <x:row r="13" ht="36" customHeight="1">
      <x:c r="A13" s="19" t="str">
        <x:v>inclusion_status</x:v>
      </x:c>
      <x:c r="B13" s="19" t="str">
        <x:v>Included</x:v>
      </x:c>
      <x:c r="C13" s="19" t="str">
        <x:v>国家证据与反馈内容都满足最低门槛</x:v>
      </x:c>
      <x:c r="D13" s="19" t="str">
        <x:v>至少含具体产品、可识别任务、实际结果/摩擦</x:v>
      </x:c>
    </x:row>
    <x:row r="14" ht="36" customHeight="1">
      <x:c r="A14" s="19" t="str">
        <x:v>inclusion_status</x:v>
      </x:c>
      <x:c r="B14" s="19" t="str">
        <x:v>Hypothesis only</x:v>
      </x:c>
      <x:c r="C14" s="19" t="str">
        <x:v>内容可编码，但地理归属只有 Low/Medium</x:v>
      </x:c>
      <x:c r="D14" s="19" t="str">
        <x:v>保留主题，不做 UAE 总体推断</x:v>
      </x:c>
    </x:row>
    <x:row r="15" ht="36" customHeight="1">
      <x:c r="A15" s="19" t="str">
        <x:v>routing</x:v>
      </x:c>
      <x:c r="B15" s="19" t="str">
        <x:v>04 competitor feedback</x:v>
      </x:c>
      <x:c r="C15" s="19" t="str">
        <x:v>具体竞品+工作任务+实际结果/摩擦</x:v>
      </x:c>
      <x:c r="D15" s="19" t="str">
        <x:v>进入反馈库</x:v>
      </x:c>
    </x:row>
    <x:row r="16" ht="36" customHeight="1">
      <x:c r="A16" s="19" t="str">
        <x:v>routing</x:v>
      </x:c>
      <x:c r="B16" s="19" t="str">
        <x:v>05 country demand</x:v>
      </x:c>
      <x:c r="C16" s="19" t="str">
        <x:v>表达工作需求/痛点，但不一定使用具体竞品</x:v>
      </x:c>
      <x:c r="D16" s="19" t="str">
        <x:v>转入国家公开需求库</x:v>
      </x:c>
    </x:row>
    <x:row r="17" ht="36" customHeight="1">
      <x:c r="A17" s="19" t="str">
        <x:v>access</x:v>
      </x:c>
      <x:c r="B17" s="19" t="str">
        <x:v>Conditional</x:v>
      </x:c>
      <x:c r="C17" s="19" t="str">
        <x:v>需要凭证、许可或条款评估</x:v>
      </x:c>
      <x:c r="D17" s="19" t="str">
        <x:v>不得因公开可见就默认批量抓取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5ff3b1fad6644c4"/>
  </x:tableParts>
</x:worksheet>
</file>